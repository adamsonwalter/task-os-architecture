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4013064\Desktop\Submit folders\Doc1\"/>
    </mc:Choice>
  </mc:AlternateContent>
  <xr:revisionPtr revIDLastSave="0" documentId="13_ncr:1_{3129D437-5E6C-4098-B27A-2ADA9C256B6A}" xr6:coauthVersionLast="47" xr6:coauthVersionMax="47" xr10:uidLastSave="{00000000-0000-0000-0000-000000000000}"/>
  <workbookProtection workbookAlgorithmName="SHA-512" workbookHashValue="Ufl65eNObgEljfpKT42YkMt7RX8ZRJXNaj+DkUzQk0BSEP3lTZjaK9V7wgOQ7RTz88UeCxkniaJmfOcel4DYAQ==" workbookSaltValue="f3HrS5Y9pgNmvHX6AQcZ/Q==" workbookSpinCount="100000" lockStructure="1"/>
  <bookViews>
    <workbookView xWindow="57480" yWindow="-120" windowWidth="29040" windowHeight="15840" xr2:uid="{00000000-000D-0000-FFFF-FFFF00000000}"/>
  </bookViews>
  <sheets>
    <sheet name="Bid Details" sheetId="1" r:id="rId1"/>
    <sheet name="Import Data" sheetId="2" r:id="rId2"/>
  </sheets>
  <definedNames>
    <definedName name="_xlnm._FilterDatabase" localSheetId="0" hidden="1">'Bid Details'!$B$12:$F$116</definedName>
    <definedName name="_xlnm.Print_Area" localSheetId="0">'Bid Details'!$A$1:$F$119</definedName>
    <definedName name="_xlnm.Print_Titles" localSheetId="0">'Bid Details'!$B:$F,'Bid Details'!$1:$12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D2" i="2" l="1"/>
  <c r="C2" i="2"/>
  <c r="B2" i="2"/>
  <c r="F21" i="1"/>
  <c r="F74" i="1" s="1"/>
  <c r="F116" i="1" s="1"/>
  <c r="E2" i="2" s="1"/>
  <c r="F23" i="1"/>
  <c r="F20" i="1"/>
  <c r="F81" i="1"/>
  <c r="F80" i="1"/>
  <c r="F115" i="1"/>
  <c r="F76" i="1"/>
  <c r="F103" i="1" s="1"/>
  <c r="F77" i="1"/>
  <c r="F78" i="1"/>
  <c r="F79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3" i="1"/>
  <c r="F14" i="1"/>
  <c r="F15" i="1"/>
  <c r="F16" i="1"/>
  <c r="F17" i="1"/>
  <c r="F18" i="1"/>
  <c r="F19" i="1"/>
  <c r="F22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Matthews-Lane</author>
  </authors>
  <commentList>
    <comment ref="B8" authorId="0" shapeId="0" xr:uid="{215B03CB-067A-4F65-B24C-715C1EC06929}">
      <text>
        <r>
          <rPr>
            <b/>
            <sz val="9"/>
            <color indexed="81"/>
            <rFont val="Tahoma"/>
            <family val="2"/>
          </rPr>
          <t>RFQ Name</t>
        </r>
        <r>
          <rPr>
            <sz val="9"/>
            <color indexed="81"/>
            <rFont val="Tahoma"/>
            <family val="2"/>
          </rPr>
          <t xml:space="preserve"> is in the RFQ email
</t>
        </r>
        <r>
          <rPr>
            <b/>
            <sz val="9"/>
            <color indexed="81"/>
            <rFont val="Tahoma"/>
            <family val="2"/>
          </rPr>
          <t xml:space="preserve">XXXXXXXX-CRFQZ
</t>
        </r>
        <r>
          <rPr>
            <sz val="9"/>
            <color indexed="81"/>
            <rFont val="Tahoma"/>
            <family val="2"/>
          </rPr>
          <t>Where</t>
        </r>
        <r>
          <rPr>
            <b/>
            <sz val="9"/>
            <color indexed="81"/>
            <rFont val="Tahoma"/>
            <family val="2"/>
          </rPr>
          <t xml:space="preserve"> XXXXXXXX </t>
        </r>
        <r>
          <rPr>
            <sz val="9"/>
            <color indexed="81"/>
            <rFont val="Tahoma"/>
            <family val="2"/>
          </rPr>
          <t xml:space="preserve">is the EO Number
and </t>
        </r>
        <r>
          <rPr>
            <b/>
            <sz val="9"/>
            <color indexed="81"/>
            <rFont val="Tahoma"/>
            <family val="2"/>
          </rPr>
          <t xml:space="preserve">Z </t>
        </r>
        <r>
          <rPr>
            <sz val="9"/>
            <color indexed="81"/>
            <rFont val="Tahoma"/>
            <family val="2"/>
          </rPr>
          <t>is the RFQ number 1,2,3,etc.
eg 22348971-CRFQ1</t>
        </r>
      </text>
    </comment>
    <comment ref="E10" authorId="0" shapeId="0" xr:uid="{5CD48BC4-C465-4D8B-9831-857ACD909145}">
      <text>
        <r>
          <rPr>
            <sz val="9"/>
            <color indexed="81"/>
            <rFont val="Tahoma"/>
            <family val="2"/>
          </rPr>
          <t>If declining RFQ - please write "Decline" here and send back email response with this excel sheet as an attachment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<sst xmlns="http://schemas.openxmlformats.org/spreadsheetml/2006/main" count="204" uniqueCount="118">
  <si>
    <t>BID DETAILS</t>
  </si>
  <si>
    <t>UOM</t>
  </si>
  <si>
    <t>Each (Ea)</t>
  </si>
  <si>
    <t>100mm Duct Installation</t>
  </si>
  <si>
    <t>144 SMOF External Hauling</t>
  </si>
  <si>
    <t>36 SMOF External Hauling</t>
  </si>
  <si>
    <t>36 SMOF Internal Hauling</t>
  </si>
  <si>
    <t>50mm Duct Installation</t>
  </si>
  <si>
    <t>50mm Penetration</t>
  </si>
  <si>
    <t>BJL - 144F</t>
  </si>
  <si>
    <t>Conduit (PVC Flex)</t>
  </si>
  <si>
    <t>Install Rack</t>
  </si>
  <si>
    <t>Site Establishment</t>
  </si>
  <si>
    <t>Traffic &amp; Pedestrian Management</t>
  </si>
  <si>
    <t>ITEM NAME</t>
  </si>
  <si>
    <t>PRICE
PER UNIT</t>
  </si>
  <si>
    <t>DESIRED
QUANTITY</t>
  </si>
  <si>
    <t>RFQ NAME:</t>
  </si>
  <si>
    <t>COMPANY NAME:</t>
  </si>
  <si>
    <t>CLOSE DATE:</t>
  </si>
  <si>
    <t>OPEN DATE:</t>
  </si>
  <si>
    <t>Boundary Surveying</t>
  </si>
  <si>
    <t>De-Watering of Manholes</t>
  </si>
  <si>
    <t>12 SMOF Internal Hauling</t>
  </si>
  <si>
    <t>72 SMOF Internal Hauling</t>
  </si>
  <si>
    <t>72 SMOF External Hauling</t>
  </si>
  <si>
    <t>312 SMOF External Hauling</t>
  </si>
  <si>
    <t>72 SMOF Overblowing</t>
  </si>
  <si>
    <t>Relocate Aerial Splice to Underground</t>
  </si>
  <si>
    <t>Aerial to Underground Pole Assemblies</t>
  </si>
  <si>
    <t>Installation of Alley Arms on Transformers</t>
  </si>
  <si>
    <t>Tree Guards</t>
  </si>
  <si>
    <t>Pole Guards</t>
  </si>
  <si>
    <t>36 Way Termination</t>
  </si>
  <si>
    <t>72 Way Termination</t>
  </si>
  <si>
    <t>144 Way Termination</t>
  </si>
  <si>
    <t>312 Way Termination</t>
  </si>
  <si>
    <t>AJL/BJL (144-72) Fully Spliced</t>
  </si>
  <si>
    <t>AJL/BJL (312-144) Fully Spliced</t>
  </si>
  <si>
    <t>BJL - 72F</t>
  </si>
  <si>
    <t>BJL - 312F</t>
  </si>
  <si>
    <t>Install Cabinet (Wall Mounted)</t>
  </si>
  <si>
    <t>Conduit (Galvanised)</t>
  </si>
  <si>
    <t>Conduit (Steel Flex)</t>
  </si>
  <si>
    <t>Conduit (PVC Rigid)</t>
  </si>
  <si>
    <t>Conduit (Riser)</t>
  </si>
  <si>
    <t>Cable Tray (150mm)</t>
  </si>
  <si>
    <t>Cable Tray (300mm)</t>
  </si>
  <si>
    <t>Cable Tray (100mm)</t>
  </si>
  <si>
    <t>Insitu Pit S&amp;I (with Sika lid)</t>
  </si>
  <si>
    <t>QUOTED
PRICE</t>
  </si>
  <si>
    <t xml:space="preserve">TOTAL QUOTED PRICE: </t>
  </si>
  <si>
    <t>Metre</t>
  </si>
  <si>
    <t>1 x 32mm (within Existing Carrier/Private Network)</t>
  </si>
  <si>
    <t>Telstra-Optus Breakout - Core Drill &amp; Jackmoon Seal</t>
  </si>
  <si>
    <t>Telstra-Optus Breakout - P100 with 4xP32 Subduct</t>
  </si>
  <si>
    <t>P5 Pit (Lockable Concrete/Paver Infill Lid) S&amp;I</t>
  </si>
  <si>
    <r>
      <t xml:space="preserve">P9 Pit &amp; Concrete Infill Lid S&amp;I </t>
    </r>
    <r>
      <rPr>
        <sz val="8"/>
        <color indexed="10"/>
        <rFont val="Arial"/>
        <family val="2"/>
      </rPr>
      <t>- VIC only</t>
    </r>
  </si>
  <si>
    <r>
      <t xml:space="preserve">P9 Pit &amp; Concrete Infill Lid (over Existing Network) S&amp;I </t>
    </r>
    <r>
      <rPr>
        <sz val="8"/>
        <color indexed="10"/>
        <rFont val="Arial"/>
        <family val="2"/>
      </rPr>
      <t>- VIC Only</t>
    </r>
  </si>
  <si>
    <t>96 SMOF External Hauling</t>
  </si>
  <si>
    <t>96 SMOF Ploughing</t>
  </si>
  <si>
    <t>Rural Marker Posts - Stamped Install Only</t>
  </si>
  <si>
    <t xml:space="preserve">Restoration </t>
  </si>
  <si>
    <t>AJL/BJL (96-36) Fully Spliced</t>
  </si>
  <si>
    <t>AJL/BJL (72-36) Fully Spliced</t>
  </si>
  <si>
    <t>BJL - 96F</t>
  </si>
  <si>
    <t>AJL - 96F</t>
  </si>
  <si>
    <t>AJL - 72F</t>
  </si>
  <si>
    <t>AJL - 36F</t>
  </si>
  <si>
    <t>24 SMOF Internal Hauling</t>
  </si>
  <si>
    <t>12 Way Termination</t>
  </si>
  <si>
    <t>24 Way Termination</t>
  </si>
  <si>
    <t xml:space="preserve">STANDARD SUBTOTAL: </t>
  </si>
  <si>
    <t>NON-STANDARD ITEM NAME</t>
  </si>
  <si>
    <t>A8 Pit &amp; Sika Lid S&amp;I</t>
  </si>
  <si>
    <t>A10 Pit &amp; Sika Lid S&amp;I</t>
  </si>
  <si>
    <t xml:space="preserve">NON-STANDARD SUBTOTAL: </t>
  </si>
  <si>
    <t xml:space="preserve">SPECIAL SUBTOTAL: </t>
  </si>
  <si>
    <r>
      <t xml:space="preserve">SPECIAL ITEM NAME </t>
    </r>
    <r>
      <rPr>
        <b/>
        <sz val="8"/>
        <rFont val="Verdana"/>
        <family val="2"/>
      </rPr>
      <t>–</t>
    </r>
    <r>
      <rPr>
        <b/>
        <sz val="8"/>
        <rFont val="Arial"/>
        <family val="2"/>
      </rPr>
      <t xml:space="preserve"> Project Specific</t>
    </r>
  </si>
  <si>
    <t>Installation of Strand (Aerial)</t>
  </si>
  <si>
    <t>Testing of Cable (All Spliced Fibres - Bi-directional at 1310nm &amp; 1550nm)</t>
  </si>
  <si>
    <t>P8 Pit (over Existing Network) S&amp;I</t>
  </si>
  <si>
    <t>Dig Down (over Existing Optus IOF Network)</t>
  </si>
  <si>
    <t>Testing of Cable (Pre-Installation)</t>
  </si>
  <si>
    <t>Installation of Fibre Cable (Aerial Existing Strand)</t>
  </si>
  <si>
    <t>Delash Existing Cable / Install New Cable (Aerial Existing Strand)</t>
  </si>
  <si>
    <t>Recover Existing Cable (Aerial)</t>
  </si>
  <si>
    <t>Delash-Re Lash Fibre Loop (Aerial Existing Strand)</t>
  </si>
  <si>
    <t>P5 Pit (Lockable Concrete/Paver Infill Lid) over Existing Network S&amp;I</t>
  </si>
  <si>
    <t>Urban Marker Posts - Install Only</t>
  </si>
  <si>
    <t>Upgrade P5 Pit to A8 Pit - Install Only</t>
  </si>
  <si>
    <t>Upgrade P5 Pit to A10 Pit - Install Only</t>
  </si>
  <si>
    <t>Upgrade P8 Pit to A10 Pit - Install Only</t>
  </si>
  <si>
    <t>Raise Buried P8 Pit - Replace with A8 Pit - Install Only</t>
  </si>
  <si>
    <t>Raise Buried P8 Pit - Replace with A10 Pit - Install Only</t>
  </si>
  <si>
    <t>Pole Testing - Level 1 and 1.5 Tests</t>
  </si>
  <si>
    <t>Sika Lid &amp; Surround - Install Only</t>
  </si>
  <si>
    <t>Install LGX (Rack Mounted)</t>
  </si>
  <si>
    <t>QUOTE NUMBER:</t>
  </si>
  <si>
    <t>VENDOR NUMBER:</t>
  </si>
  <si>
    <t>[Enter company name here.]</t>
  </si>
  <si>
    <t>[Enter vendor number here.]</t>
  </si>
  <si>
    <t>[Enter quote number here.]</t>
  </si>
  <si>
    <t>NOTE: PLEASE BE AWARE THAT ALL PRICES ABOVE ARE EXCLUDING GST.</t>
  </si>
  <si>
    <t>A10 Pit (Optus Approved) – Over Existing Network S&amp;I</t>
  </si>
  <si>
    <t>A10 Pit (Optus Approved) – S&amp;I</t>
  </si>
  <si>
    <t>A8 Pit (Optus Approved) – Over Existing Network S&amp;I</t>
  </si>
  <si>
    <t>A8 Pit (Optus Approved) – S&amp;I</t>
  </si>
  <si>
    <t>P5 Pit (Optus Approved) – Over Existing Network S&amp;I</t>
  </si>
  <si>
    <t>P5 Pit (Optus Approved) – S&amp;I</t>
  </si>
  <si>
    <t>P4 Pit (Optus Approved) – S&amp;I</t>
  </si>
  <si>
    <t>P4 Pit (Optus Approved) – Over Existing Network S&amp;I</t>
  </si>
  <si>
    <t>RFQ-Reference</t>
  </si>
  <si>
    <t>COMPANY NAME</t>
  </si>
  <si>
    <t>VENDOR NUMBER</t>
  </si>
  <si>
    <t>QUOTE NUMBER</t>
  </si>
  <si>
    <t>Quote-Price</t>
  </si>
  <si>
    <t>49466087 CRFQ1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</si>
</sst>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&quot;$&quot;#,##0.00"/>
  </numFmts>
  <fonts count="20" x14ac:knownFonts="1">
    <font>
      <sz val="10"/>
      <name val="Verdana"/>
    </font>
    <font>
      <sz val="8"/>
      <name val="Verdana"/>
      <family val="2"/>
    </font>
    <font>
      <b/>
      <sz val="20"/>
      <color indexed="50"/>
      <name val="Arial"/>
      <family val="2"/>
    </font>
    <font>
      <sz val="8"/>
      <name val="Arial"/>
      <family val="2"/>
    </font>
    <font>
      <sz val="20"/>
      <name val="Arial"/>
      <family val="2"/>
    </font>
    <font>
      <b/>
      <sz val="8"/>
      <name val="Arial"/>
      <family val="2"/>
    </font>
    <font>
      <b/>
      <sz val="9"/>
      <color indexed="21"/>
      <name val="Arial"/>
      <family val="2"/>
    </font>
    <font>
      <sz val="9"/>
      <name val="Arial"/>
      <family val="2"/>
    </font>
    <font>
      <b/>
      <sz val="9"/>
      <color indexed="60"/>
      <name val="Arial"/>
      <family val="2"/>
    </font>
    <font>
      <sz val="8"/>
      <color indexed="10"/>
      <name val="Arial"/>
      <family val="2"/>
    </font>
    <font>
      <b/>
      <sz val="8"/>
      <name val="Verdana"/>
      <family val="2"/>
    </font>
    <font>
      <b/>
      <sz val="8"/>
      <color indexed="62"/>
      <name val="Arial"/>
      <family val="2"/>
    </font>
    <font>
      <b/>
      <sz val="9"/>
      <color indexed="62"/>
      <name val="Arial"/>
      <family val="2"/>
    </font>
    <font>
      <sz val="8"/>
      <color indexed="62"/>
      <name val="Arial"/>
      <family val="2"/>
    </font>
    <font>
      <b/>
      <sz val="8"/>
      <color indexed="20"/>
      <name val="Arial"/>
      <family val="2"/>
    </font>
    <font>
      <sz val="8"/>
      <color indexed="2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center" vertical="top" wrapText="1"/>
    </xf>
    <xf numFmtId="165" fontId="3" fillId="2" borderId="0" xfId="0" applyNumberFormat="1" applyFont="1" applyFill="1" applyAlignment="1">
      <alignment horizontal="right" vertical="top" wrapText="1"/>
    </xf>
    <xf numFmtId="165" fontId="3" fillId="0" borderId="2" xfId="0" applyNumberFormat="1" applyFont="1" applyBorder="1" applyAlignment="1">
      <alignment horizontal="right" vertical="top" wrapText="1"/>
    </xf>
    <xf numFmtId="0" fontId="3" fillId="3" borderId="3" xfId="0" applyFont="1" applyFill="1" applyBorder="1" applyAlignment="1">
      <alignment horizontal="center" vertical="top" wrapText="1"/>
    </xf>
    <xf numFmtId="165" fontId="3" fillId="3" borderId="4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165" fontId="3" fillId="4" borderId="2" xfId="0" applyNumberFormat="1" applyFont="1" applyFill="1" applyBorder="1" applyAlignment="1">
      <alignment horizontal="right" vertical="top" wrapText="1"/>
    </xf>
    <xf numFmtId="0" fontId="3" fillId="4" borderId="2" xfId="0" applyFont="1" applyFill="1" applyBorder="1" applyAlignment="1">
      <alignment horizontal="right" vertical="top" wrapText="1"/>
    </xf>
    <xf numFmtId="0" fontId="11" fillId="2" borderId="0" xfId="0" applyFont="1" applyFill="1" applyAlignment="1">
      <alignment vertical="top" wrapText="1"/>
    </xf>
    <xf numFmtId="165" fontId="11" fillId="2" borderId="6" xfId="0" applyNumberFormat="1" applyFont="1" applyFill="1" applyBorder="1" applyAlignment="1">
      <alignment horizontal="right" vertical="top" wrapText="1"/>
    </xf>
    <xf numFmtId="165" fontId="11" fillId="2" borderId="2" xfId="0" applyNumberFormat="1" applyFont="1" applyFill="1" applyBorder="1" applyAlignment="1">
      <alignment horizontal="right" vertical="top" wrapText="1"/>
    </xf>
    <xf numFmtId="0" fontId="13" fillId="2" borderId="0" xfId="0" applyFont="1" applyFill="1" applyAlignment="1">
      <alignment vertical="top" wrapText="1"/>
    </xf>
    <xf numFmtId="0" fontId="12" fillId="2" borderId="0" xfId="0" applyFont="1" applyFill="1" applyAlignment="1">
      <alignment vertical="top"/>
    </xf>
    <xf numFmtId="0" fontId="3" fillId="3" borderId="7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right" vertical="top" wrapText="1"/>
    </xf>
    <xf numFmtId="0" fontId="14" fillId="2" borderId="0" xfId="0" applyFont="1" applyFill="1" applyAlignment="1">
      <alignment vertical="top" wrapText="1"/>
    </xf>
    <xf numFmtId="0" fontId="14" fillId="2" borderId="8" xfId="0" applyFont="1" applyFill="1" applyBorder="1" applyAlignment="1">
      <alignment vertical="top"/>
    </xf>
    <xf numFmtId="165" fontId="14" fillId="2" borderId="9" xfId="0" applyNumberFormat="1" applyFont="1" applyFill="1" applyBorder="1" applyAlignment="1">
      <alignment horizontal="right" vertical="top" wrapText="1"/>
    </xf>
    <xf numFmtId="165" fontId="14" fillId="2" borderId="2" xfId="0" applyNumberFormat="1" applyFont="1" applyFill="1" applyBorder="1" applyAlignment="1">
      <alignment horizontal="right" vertical="top" wrapText="1"/>
    </xf>
    <xf numFmtId="0" fontId="15" fillId="2" borderId="0" xfId="0" applyFont="1" applyFill="1" applyAlignment="1">
      <alignment vertical="top" wrapText="1"/>
    </xf>
    <xf numFmtId="164" fontId="6" fillId="2" borderId="10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8" fillId="5" borderId="10" xfId="0" applyFont="1" applyFill="1" applyBorder="1" applyAlignment="1">
      <alignment horizontal="right" vertical="top" wrapText="1"/>
    </xf>
    <xf numFmtId="0" fontId="16" fillId="2" borderId="0" xfId="0" applyFont="1" applyFill="1" applyAlignment="1">
      <alignment horizontal="left" vertical="top" wrapText="1"/>
    </xf>
    <xf numFmtId="0" fontId="8" fillId="5" borderId="11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right" vertical="top" wrapText="1"/>
    </xf>
    <xf numFmtId="0" fontId="6" fillId="5" borderId="5" xfId="0" applyFont="1" applyFill="1" applyBorder="1" applyAlignment="1">
      <alignment horizontal="right" vertical="top" wrapText="1"/>
    </xf>
    <xf numFmtId="0" fontId="6" fillId="5" borderId="1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990600</xdr:colOff>
      <xdr:row>4</xdr:row>
      <xdr:rowOff>131445</xdr:rowOff>
    </xdr:to>
    <xdr:pic>
      <xdr:nvPicPr>
        <xdr:cNvPr id="1167" name="Picture 33" descr="logo_optus_yellow">
          <a:extLst>
            <a:ext uri="{FF2B5EF4-FFF2-40B4-BE49-F238E27FC236}">
              <a16:creationId xmlns:a16="http://schemas.microsoft.com/office/drawing/2014/main" id="{00C14BBF-F280-424B-98F3-0A87C2011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58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119"/>
  <sheetViews>
    <sheetView tabSelected="1" workbookViewId="0">
      <pane ySplit="12" topLeftCell="A13" activePane="bottomLeft" state="frozenSplit"/>
      <selection pane="bottomLeft" activeCell="F8" sqref="F8"/>
    </sheetView>
  </sheetViews>
  <sheetFormatPr defaultColWidth="9" defaultRowHeight="10" x14ac:dyDescent="0.3"/>
  <cols>
    <col min="1" max="1" width="1.23046875" style="5" customWidth="1"/>
    <col min="2" max="2" width="50.61328125" style="5" customWidth="1"/>
    <col min="3" max="3" width="10.61328125" style="9" customWidth="1"/>
    <col min="4" max="4" width="10.61328125" style="8" customWidth="1"/>
    <col min="5" max="6" width="10.921875" style="10" customWidth="1"/>
    <col min="7" max="16384" width="9" style="5"/>
  </cols>
  <sheetData>
    <row r="1" spans="2:6" s="1" customFormat="1" x14ac:dyDescent="0.3"/>
    <row r="2" spans="2:6" s="1" customFormat="1" x14ac:dyDescent="0.3"/>
    <row r="3" spans="2:6" s="1" customFormat="1" x14ac:dyDescent="0.3"/>
    <row r="4" spans="2:6" s="1" customFormat="1" x14ac:dyDescent="0.3"/>
    <row r="5" spans="2:6" s="2" customFormat="1" ht="25" x14ac:dyDescent="0.3">
      <c r="B5" s="46" t="s">
        <v>0</v>
      </c>
      <c r="C5" s="46"/>
      <c r="D5" s="46"/>
      <c r="E5" s="46"/>
      <c r="F5" s="46"/>
    </row>
    <row r="6" spans="2:6" s="1" customFormat="1" x14ac:dyDescent="0.3"/>
    <row r="7" spans="2:6" s="1" customFormat="1" ht="10.5" x14ac:dyDescent="0.3">
      <c r="B7" s="47" t="s">
        <v>17</v>
      </c>
      <c r="C7" s="48"/>
      <c r="D7" s="49"/>
      <c r="E7" s="3" t="s">
        <v>20</v>
      </c>
      <c r="F7" s="3" t="s">
        <v>19</v>
      </c>
    </row>
    <row r="8" spans="2:6" s="4" customFormat="1" ht="11.5" x14ac:dyDescent="0.3">
      <c r="B8" s="50" t="s">
        <v>117</v>
      </c>
      <c r="C8" s="51"/>
      <c r="D8" s="52"/>
      <c r="E8" s="38"/>
      <c r="F8" s="38"/>
    </row>
    <row r="9" spans="2:6" s="1" customFormat="1" ht="10.5" x14ac:dyDescent="0.3">
      <c r="B9" s="3" t="s">
        <v>18</v>
      </c>
      <c r="C9" s="47" t="s">
        <v>99</v>
      </c>
      <c r="D9" s="49"/>
      <c r="E9" s="47" t="s">
        <v>98</v>
      </c>
      <c r="F9" s="49"/>
    </row>
    <row r="10" spans="2:6" s="4" customFormat="1" ht="12" customHeight="1" x14ac:dyDescent="0.3">
      <c r="B10" s="42" t="s">
        <v>100</v>
      </c>
      <c r="C10" s="44" t="s">
        <v>101</v>
      </c>
      <c r="D10" s="45"/>
      <c r="E10" s="44" t="s">
        <v>102</v>
      </c>
      <c r="F10" s="45"/>
    </row>
    <row r="11" spans="2:6" s="1" customFormat="1" x14ac:dyDescent="0.3"/>
    <row r="12" spans="2:6" s="15" customFormat="1" ht="21" x14ac:dyDescent="0.3">
      <c r="B12" s="14" t="s">
        <v>14</v>
      </c>
      <c r="C12" s="14" t="s">
        <v>1</v>
      </c>
      <c r="D12" s="14" t="s">
        <v>16</v>
      </c>
      <c r="E12" s="14" t="s">
        <v>15</v>
      </c>
      <c r="F12" s="14" t="s">
        <v>50</v>
      </c>
    </row>
    <row r="13" spans="2:6" x14ac:dyDescent="0.3">
      <c r="B13" s="6" t="s">
        <v>12</v>
      </c>
      <c r="C13" s="7" t="s">
        <v>2</v>
      </c>
      <c r="D13" s="22">
        <v>0</v>
      </c>
      <c r="E13" s="21">
        <v>0</v>
      </c>
      <c r="F13" s="11">
        <f t="shared" ref="F13:F46" si="0">E13*D13</f>
        <v>0</v>
      </c>
    </row>
    <row r="14" spans="2:6" x14ac:dyDescent="0.3">
      <c r="B14" s="6" t="s">
        <v>21</v>
      </c>
      <c r="C14" s="7" t="s">
        <v>2</v>
      </c>
      <c r="D14" s="22">
        <v>0</v>
      </c>
      <c r="E14" s="21">
        <v>0</v>
      </c>
      <c r="F14" s="11">
        <f t="shared" si="0"/>
        <v>0</v>
      </c>
    </row>
    <row r="15" spans="2:6" x14ac:dyDescent="0.3">
      <c r="B15" s="6" t="s">
        <v>13</v>
      </c>
      <c r="C15" s="7" t="s">
        <v>2</v>
      </c>
      <c r="D15" s="22">
        <v>0</v>
      </c>
      <c r="E15" s="21">
        <v>0</v>
      </c>
      <c r="F15" s="11">
        <f t="shared" si="0"/>
        <v>0</v>
      </c>
    </row>
    <row r="16" spans="2:6" x14ac:dyDescent="0.3">
      <c r="B16" s="6" t="s">
        <v>7</v>
      </c>
      <c r="C16" s="7" t="s">
        <v>52</v>
      </c>
      <c r="D16" s="22">
        <v>0</v>
      </c>
      <c r="E16" s="21">
        <v>0</v>
      </c>
      <c r="F16" s="11">
        <f t="shared" si="0"/>
        <v>0</v>
      </c>
    </row>
    <row r="17" spans="2:6" x14ac:dyDescent="0.3">
      <c r="B17" s="6" t="s">
        <v>53</v>
      </c>
      <c r="C17" s="7" t="s">
        <v>52</v>
      </c>
      <c r="D17" s="22">
        <v>0</v>
      </c>
      <c r="E17" s="21">
        <v>0</v>
      </c>
      <c r="F17" s="11">
        <f t="shared" si="0"/>
        <v>0</v>
      </c>
    </row>
    <row r="18" spans="2:6" x14ac:dyDescent="0.3">
      <c r="B18" s="6" t="s">
        <v>54</v>
      </c>
      <c r="C18" s="7" t="s">
        <v>2</v>
      </c>
      <c r="D18" s="22">
        <v>0</v>
      </c>
      <c r="E18" s="21">
        <v>0</v>
      </c>
      <c r="F18" s="11">
        <f t="shared" si="0"/>
        <v>0</v>
      </c>
    </row>
    <row r="19" spans="2:6" x14ac:dyDescent="0.3">
      <c r="B19" s="6" t="s">
        <v>55</v>
      </c>
      <c r="C19" s="7" t="s">
        <v>52</v>
      </c>
      <c r="D19" s="22">
        <v>0</v>
      </c>
      <c r="E19" s="21">
        <v>0</v>
      </c>
      <c r="F19" s="11">
        <f t="shared" si="0"/>
        <v>0</v>
      </c>
    </row>
    <row r="20" spans="2:6" x14ac:dyDescent="0.3">
      <c r="B20" s="40" t="s">
        <v>110</v>
      </c>
      <c r="C20" s="7" t="s">
        <v>2</v>
      </c>
      <c r="D20" s="22">
        <v>0</v>
      </c>
      <c r="E20" s="21">
        <v>0</v>
      </c>
      <c r="F20" s="11">
        <f>E20*D20</f>
        <v>0</v>
      </c>
    </row>
    <row r="21" spans="2:6" x14ac:dyDescent="0.3">
      <c r="B21" s="40" t="s">
        <v>111</v>
      </c>
      <c r="C21" s="7" t="s">
        <v>2</v>
      </c>
      <c r="D21" s="22">
        <v>0</v>
      </c>
      <c r="E21" s="21">
        <v>0</v>
      </c>
      <c r="F21" s="11">
        <f>E21*D21</f>
        <v>0</v>
      </c>
    </row>
    <row r="22" spans="2:6" x14ac:dyDescent="0.3">
      <c r="B22" s="41" t="s">
        <v>109</v>
      </c>
      <c r="C22" s="7" t="s">
        <v>2</v>
      </c>
      <c r="D22" s="22">
        <v>0</v>
      </c>
      <c r="E22" s="21">
        <v>0</v>
      </c>
      <c r="F22" s="11">
        <f t="shared" si="0"/>
        <v>0</v>
      </c>
    </row>
    <row r="23" spans="2:6" x14ac:dyDescent="0.3">
      <c r="B23" s="6" t="s">
        <v>108</v>
      </c>
      <c r="C23" s="7" t="s">
        <v>2</v>
      </c>
      <c r="D23" s="22">
        <v>0</v>
      </c>
      <c r="E23" s="21">
        <v>0</v>
      </c>
      <c r="F23" s="11">
        <f>E23*D23</f>
        <v>0</v>
      </c>
    </row>
    <row r="24" spans="2:6" x14ac:dyDescent="0.3">
      <c r="B24" s="6" t="s">
        <v>107</v>
      </c>
      <c r="C24" s="7" t="s">
        <v>2</v>
      </c>
      <c r="D24" s="22">
        <v>0</v>
      </c>
      <c r="E24" s="21">
        <v>0</v>
      </c>
      <c r="F24" s="11">
        <f t="shared" si="0"/>
        <v>0</v>
      </c>
    </row>
    <row r="25" spans="2:6" x14ac:dyDescent="0.3">
      <c r="B25" s="6" t="s">
        <v>106</v>
      </c>
      <c r="C25" s="7" t="s">
        <v>2</v>
      </c>
      <c r="D25" s="22">
        <v>0</v>
      </c>
      <c r="E25" s="21">
        <v>0</v>
      </c>
      <c r="F25" s="11">
        <f t="shared" si="0"/>
        <v>0</v>
      </c>
    </row>
    <row r="26" spans="2:6" x14ac:dyDescent="0.3">
      <c r="B26" s="6" t="s">
        <v>57</v>
      </c>
      <c r="C26" s="7" t="s">
        <v>2</v>
      </c>
      <c r="D26" s="22">
        <v>0</v>
      </c>
      <c r="E26" s="21">
        <v>0</v>
      </c>
      <c r="F26" s="11">
        <f t="shared" si="0"/>
        <v>0</v>
      </c>
    </row>
    <row r="27" spans="2:6" x14ac:dyDescent="0.3">
      <c r="B27" s="6" t="s">
        <v>58</v>
      </c>
      <c r="C27" s="7" t="s">
        <v>2</v>
      </c>
      <c r="D27" s="22">
        <v>0</v>
      </c>
      <c r="E27" s="21">
        <v>0</v>
      </c>
      <c r="F27" s="11">
        <f t="shared" si="0"/>
        <v>0</v>
      </c>
    </row>
    <row r="28" spans="2:6" x14ac:dyDescent="0.3">
      <c r="B28" s="6" t="s">
        <v>105</v>
      </c>
      <c r="C28" s="7" t="s">
        <v>2</v>
      </c>
      <c r="D28" s="22">
        <v>0</v>
      </c>
      <c r="E28" s="21">
        <v>0</v>
      </c>
      <c r="F28" s="11">
        <f t="shared" si="0"/>
        <v>0</v>
      </c>
    </row>
    <row r="29" spans="2:6" x14ac:dyDescent="0.3">
      <c r="B29" s="6" t="s">
        <v>104</v>
      </c>
      <c r="C29" s="7" t="s">
        <v>2</v>
      </c>
      <c r="D29" s="22">
        <v>0</v>
      </c>
      <c r="E29" s="21">
        <v>0</v>
      </c>
      <c r="F29" s="11">
        <f t="shared" si="0"/>
        <v>0</v>
      </c>
    </row>
    <row r="30" spans="2:6" x14ac:dyDescent="0.3">
      <c r="B30" s="6" t="s">
        <v>5</v>
      </c>
      <c r="C30" s="7" t="s">
        <v>52</v>
      </c>
      <c r="D30" s="22">
        <v>0</v>
      </c>
      <c r="E30" s="21">
        <v>0</v>
      </c>
      <c r="F30" s="11">
        <f t="shared" si="0"/>
        <v>0</v>
      </c>
    </row>
    <row r="31" spans="2:6" x14ac:dyDescent="0.3">
      <c r="B31" s="6" t="s">
        <v>25</v>
      </c>
      <c r="C31" s="7" t="s">
        <v>52</v>
      </c>
      <c r="D31" s="22">
        <v>0</v>
      </c>
      <c r="E31" s="21">
        <v>0</v>
      </c>
      <c r="F31" s="11">
        <f t="shared" si="0"/>
        <v>0</v>
      </c>
    </row>
    <row r="32" spans="2:6" x14ac:dyDescent="0.3">
      <c r="B32" s="6" t="s">
        <v>59</v>
      </c>
      <c r="C32" s="7" t="s">
        <v>52</v>
      </c>
      <c r="D32" s="22">
        <v>0</v>
      </c>
      <c r="E32" s="21">
        <v>0</v>
      </c>
      <c r="F32" s="11">
        <f t="shared" si="0"/>
        <v>0</v>
      </c>
    </row>
    <row r="33" spans="2:6" x14ac:dyDescent="0.3">
      <c r="B33" s="6" t="s">
        <v>4</v>
      </c>
      <c r="C33" s="7" t="s">
        <v>52</v>
      </c>
      <c r="D33" s="22">
        <v>0</v>
      </c>
      <c r="E33" s="21">
        <v>0</v>
      </c>
      <c r="F33" s="11">
        <f t="shared" si="0"/>
        <v>0</v>
      </c>
    </row>
    <row r="34" spans="2:6" x14ac:dyDescent="0.3">
      <c r="B34" s="6" t="s">
        <v>26</v>
      </c>
      <c r="C34" s="7" t="s">
        <v>52</v>
      </c>
      <c r="D34" s="22">
        <v>0</v>
      </c>
      <c r="E34" s="21">
        <v>0</v>
      </c>
      <c r="F34" s="11">
        <f t="shared" si="0"/>
        <v>0</v>
      </c>
    </row>
    <row r="35" spans="2:6" x14ac:dyDescent="0.3">
      <c r="B35" s="6" t="s">
        <v>27</v>
      </c>
      <c r="C35" s="7" t="s">
        <v>52</v>
      </c>
      <c r="D35" s="22">
        <v>0</v>
      </c>
      <c r="E35" s="21">
        <v>0</v>
      </c>
      <c r="F35" s="11">
        <f t="shared" si="0"/>
        <v>0</v>
      </c>
    </row>
    <row r="36" spans="2:6" x14ac:dyDescent="0.3">
      <c r="B36" s="6" t="s">
        <v>60</v>
      </c>
      <c r="C36" s="7" t="s">
        <v>52</v>
      </c>
      <c r="D36" s="22">
        <v>0</v>
      </c>
      <c r="E36" s="21">
        <v>0</v>
      </c>
      <c r="F36" s="11">
        <f t="shared" si="0"/>
        <v>0</v>
      </c>
    </row>
    <row r="37" spans="2:6" x14ac:dyDescent="0.3">
      <c r="B37" s="6" t="s">
        <v>61</v>
      </c>
      <c r="C37" s="7" t="s">
        <v>2</v>
      </c>
      <c r="D37" s="22">
        <v>0</v>
      </c>
      <c r="E37" s="21">
        <v>0</v>
      </c>
      <c r="F37" s="11">
        <f t="shared" si="0"/>
        <v>0</v>
      </c>
    </row>
    <row r="38" spans="2:6" x14ac:dyDescent="0.3">
      <c r="B38" s="6" t="s">
        <v>89</v>
      </c>
      <c r="C38" s="7" t="s">
        <v>2</v>
      </c>
      <c r="D38" s="22">
        <v>0</v>
      </c>
      <c r="E38" s="21">
        <v>0</v>
      </c>
      <c r="F38" s="11">
        <f t="shared" si="0"/>
        <v>0</v>
      </c>
    </row>
    <row r="39" spans="2:6" x14ac:dyDescent="0.3">
      <c r="B39" s="6" t="s">
        <v>62</v>
      </c>
      <c r="C39" s="7" t="s">
        <v>2</v>
      </c>
      <c r="D39" s="22">
        <v>0</v>
      </c>
      <c r="E39" s="21">
        <v>0</v>
      </c>
      <c r="F39" s="11">
        <f t="shared" si="0"/>
        <v>0</v>
      </c>
    </row>
    <row r="40" spans="2:6" x14ac:dyDescent="0.3">
      <c r="B40" s="6" t="s">
        <v>38</v>
      </c>
      <c r="C40" s="7" t="s">
        <v>2</v>
      </c>
      <c r="D40" s="22">
        <v>0</v>
      </c>
      <c r="E40" s="21">
        <v>0</v>
      </c>
      <c r="F40" s="11">
        <f t="shared" si="0"/>
        <v>0</v>
      </c>
    </row>
    <row r="41" spans="2:6" x14ac:dyDescent="0.3">
      <c r="B41" s="6" t="s">
        <v>37</v>
      </c>
      <c r="C41" s="7" t="s">
        <v>2</v>
      </c>
      <c r="D41" s="22">
        <v>0</v>
      </c>
      <c r="E41" s="21">
        <v>0</v>
      </c>
      <c r="F41" s="11">
        <f t="shared" si="0"/>
        <v>0</v>
      </c>
    </row>
    <row r="42" spans="2:6" x14ac:dyDescent="0.3">
      <c r="B42" s="6" t="s">
        <v>63</v>
      </c>
      <c r="C42" s="7" t="s">
        <v>2</v>
      </c>
      <c r="D42" s="22">
        <v>0</v>
      </c>
      <c r="E42" s="21">
        <v>0</v>
      </c>
      <c r="F42" s="11">
        <f t="shared" si="0"/>
        <v>0</v>
      </c>
    </row>
    <row r="43" spans="2:6" x14ac:dyDescent="0.3">
      <c r="B43" s="6" t="s">
        <v>64</v>
      </c>
      <c r="C43" s="7" t="s">
        <v>2</v>
      </c>
      <c r="D43" s="22">
        <v>0</v>
      </c>
      <c r="E43" s="21">
        <v>0</v>
      </c>
      <c r="F43" s="11">
        <f t="shared" si="0"/>
        <v>0</v>
      </c>
    </row>
    <row r="44" spans="2:6" x14ac:dyDescent="0.3">
      <c r="B44" s="6" t="s">
        <v>40</v>
      </c>
      <c r="C44" s="7" t="s">
        <v>2</v>
      </c>
      <c r="D44" s="22">
        <v>0</v>
      </c>
      <c r="E44" s="21">
        <v>0</v>
      </c>
      <c r="F44" s="11">
        <f t="shared" si="0"/>
        <v>0</v>
      </c>
    </row>
    <row r="45" spans="2:6" x14ac:dyDescent="0.3">
      <c r="B45" s="6" t="s">
        <v>9</v>
      </c>
      <c r="C45" s="7" t="s">
        <v>2</v>
      </c>
      <c r="D45" s="22">
        <v>0</v>
      </c>
      <c r="E45" s="21">
        <v>0</v>
      </c>
      <c r="F45" s="11">
        <f t="shared" si="0"/>
        <v>0</v>
      </c>
    </row>
    <row r="46" spans="2:6" x14ac:dyDescent="0.3">
      <c r="B46" s="6" t="s">
        <v>65</v>
      </c>
      <c r="C46" s="7" t="s">
        <v>2</v>
      </c>
      <c r="D46" s="22">
        <v>0</v>
      </c>
      <c r="E46" s="21">
        <v>0</v>
      </c>
      <c r="F46" s="11">
        <f t="shared" si="0"/>
        <v>0</v>
      </c>
    </row>
    <row r="47" spans="2:6" x14ac:dyDescent="0.3">
      <c r="B47" s="6" t="s">
        <v>39</v>
      </c>
      <c r="C47" s="7" t="s">
        <v>2</v>
      </c>
      <c r="D47" s="22">
        <v>0</v>
      </c>
      <c r="E47" s="21">
        <v>0</v>
      </c>
      <c r="F47" s="11">
        <f t="shared" ref="F47:F73" si="1">E47*D47</f>
        <v>0</v>
      </c>
    </row>
    <row r="48" spans="2:6" x14ac:dyDescent="0.3">
      <c r="B48" s="6" t="s">
        <v>66</v>
      </c>
      <c r="C48" s="7" t="s">
        <v>2</v>
      </c>
      <c r="D48" s="22">
        <v>0</v>
      </c>
      <c r="E48" s="21">
        <v>0</v>
      </c>
      <c r="F48" s="11">
        <f t="shared" si="1"/>
        <v>0</v>
      </c>
    </row>
    <row r="49" spans="2:6" x14ac:dyDescent="0.3">
      <c r="B49" s="6" t="s">
        <v>67</v>
      </c>
      <c r="C49" s="7" t="s">
        <v>2</v>
      </c>
      <c r="D49" s="22">
        <v>0</v>
      </c>
      <c r="E49" s="21">
        <v>0</v>
      </c>
      <c r="F49" s="11">
        <f t="shared" si="1"/>
        <v>0</v>
      </c>
    </row>
    <row r="50" spans="2:6" x14ac:dyDescent="0.3">
      <c r="B50" s="6" t="s">
        <v>68</v>
      </c>
      <c r="C50" s="7" t="s">
        <v>2</v>
      </c>
      <c r="D50" s="22">
        <v>0</v>
      </c>
      <c r="E50" s="21">
        <v>0</v>
      </c>
      <c r="F50" s="11">
        <f t="shared" si="1"/>
        <v>0</v>
      </c>
    </row>
    <row r="51" spans="2:6" x14ac:dyDescent="0.3">
      <c r="B51" s="6" t="s">
        <v>8</v>
      </c>
      <c r="C51" s="7" t="s">
        <v>2</v>
      </c>
      <c r="D51" s="22">
        <v>0</v>
      </c>
      <c r="E51" s="21">
        <v>0</v>
      </c>
      <c r="F51" s="11">
        <f t="shared" si="1"/>
        <v>0</v>
      </c>
    </row>
    <row r="52" spans="2:6" x14ac:dyDescent="0.3">
      <c r="B52" s="6" t="s">
        <v>42</v>
      </c>
      <c r="C52" s="7" t="s">
        <v>52</v>
      </c>
      <c r="D52" s="22">
        <v>0</v>
      </c>
      <c r="E52" s="21">
        <v>0</v>
      </c>
      <c r="F52" s="11">
        <f t="shared" si="1"/>
        <v>0</v>
      </c>
    </row>
    <row r="53" spans="2:6" x14ac:dyDescent="0.3">
      <c r="B53" s="6" t="s">
        <v>43</v>
      </c>
      <c r="C53" s="7" t="s">
        <v>52</v>
      </c>
      <c r="D53" s="22">
        <v>0</v>
      </c>
      <c r="E53" s="21">
        <v>0</v>
      </c>
      <c r="F53" s="11">
        <f t="shared" si="1"/>
        <v>0</v>
      </c>
    </row>
    <row r="54" spans="2:6" x14ac:dyDescent="0.3">
      <c r="B54" s="6" t="s">
        <v>44</v>
      </c>
      <c r="C54" s="7" t="s">
        <v>52</v>
      </c>
      <c r="D54" s="22">
        <v>0</v>
      </c>
      <c r="E54" s="21">
        <v>0</v>
      </c>
      <c r="F54" s="11">
        <f t="shared" si="1"/>
        <v>0</v>
      </c>
    </row>
    <row r="55" spans="2:6" x14ac:dyDescent="0.3">
      <c r="B55" s="6" t="s">
        <v>10</v>
      </c>
      <c r="C55" s="7" t="s">
        <v>52</v>
      </c>
      <c r="D55" s="22">
        <v>0</v>
      </c>
      <c r="E55" s="21">
        <v>0</v>
      </c>
      <c r="F55" s="11">
        <f t="shared" si="1"/>
        <v>0</v>
      </c>
    </row>
    <row r="56" spans="2:6" x14ac:dyDescent="0.3">
      <c r="B56" s="6" t="s">
        <v>45</v>
      </c>
      <c r="C56" s="7" t="s">
        <v>52</v>
      </c>
      <c r="D56" s="22">
        <v>0</v>
      </c>
      <c r="E56" s="21">
        <v>0</v>
      </c>
      <c r="F56" s="11">
        <f t="shared" si="1"/>
        <v>0</v>
      </c>
    </row>
    <row r="57" spans="2:6" x14ac:dyDescent="0.3">
      <c r="B57" s="6" t="s">
        <v>48</v>
      </c>
      <c r="C57" s="7" t="s">
        <v>52</v>
      </c>
      <c r="D57" s="22">
        <v>0</v>
      </c>
      <c r="E57" s="21">
        <v>0</v>
      </c>
      <c r="F57" s="11">
        <f t="shared" si="1"/>
        <v>0</v>
      </c>
    </row>
    <row r="58" spans="2:6" x14ac:dyDescent="0.3">
      <c r="B58" s="6" t="s">
        <v>46</v>
      </c>
      <c r="C58" s="7" t="s">
        <v>52</v>
      </c>
      <c r="D58" s="22">
        <v>0</v>
      </c>
      <c r="E58" s="21">
        <v>0</v>
      </c>
      <c r="F58" s="11">
        <f t="shared" si="1"/>
        <v>0</v>
      </c>
    </row>
    <row r="59" spans="2:6" x14ac:dyDescent="0.3">
      <c r="B59" s="6" t="s">
        <v>47</v>
      </c>
      <c r="C59" s="7" t="s">
        <v>52</v>
      </c>
      <c r="D59" s="22">
        <v>0</v>
      </c>
      <c r="E59" s="21">
        <v>0</v>
      </c>
      <c r="F59" s="11">
        <f t="shared" si="1"/>
        <v>0</v>
      </c>
    </row>
    <row r="60" spans="2:6" x14ac:dyDescent="0.3">
      <c r="B60" s="6" t="s">
        <v>23</v>
      </c>
      <c r="C60" s="7" t="s">
        <v>52</v>
      </c>
      <c r="D60" s="22">
        <v>0</v>
      </c>
      <c r="E60" s="21">
        <v>0</v>
      </c>
      <c r="F60" s="11">
        <f t="shared" si="1"/>
        <v>0</v>
      </c>
    </row>
    <row r="61" spans="2:6" x14ac:dyDescent="0.3">
      <c r="B61" s="6" t="s">
        <v>69</v>
      </c>
      <c r="C61" s="7" t="s">
        <v>52</v>
      </c>
      <c r="D61" s="22">
        <v>0</v>
      </c>
      <c r="E61" s="21">
        <v>0</v>
      </c>
      <c r="F61" s="11">
        <f t="shared" si="1"/>
        <v>0</v>
      </c>
    </row>
    <row r="62" spans="2:6" x14ac:dyDescent="0.3">
      <c r="B62" s="6" t="s">
        <v>6</v>
      </c>
      <c r="C62" s="7" t="s">
        <v>52</v>
      </c>
      <c r="D62" s="22">
        <v>0</v>
      </c>
      <c r="E62" s="21">
        <v>0</v>
      </c>
      <c r="F62" s="11">
        <f t="shared" si="1"/>
        <v>0</v>
      </c>
    </row>
    <row r="63" spans="2:6" x14ac:dyDescent="0.3">
      <c r="B63" s="6" t="s">
        <v>24</v>
      </c>
      <c r="C63" s="7" t="s">
        <v>52</v>
      </c>
      <c r="D63" s="22">
        <v>0</v>
      </c>
      <c r="E63" s="21">
        <v>0</v>
      </c>
      <c r="F63" s="11">
        <f t="shared" si="1"/>
        <v>0</v>
      </c>
    </row>
    <row r="64" spans="2:6" x14ac:dyDescent="0.3">
      <c r="B64" s="6" t="s">
        <v>41</v>
      </c>
      <c r="C64" s="7" t="s">
        <v>2</v>
      </c>
      <c r="D64" s="22">
        <v>0</v>
      </c>
      <c r="E64" s="21">
        <v>0</v>
      </c>
      <c r="F64" s="11">
        <f t="shared" si="1"/>
        <v>0</v>
      </c>
    </row>
    <row r="65" spans="2:6" x14ac:dyDescent="0.3">
      <c r="B65" s="6" t="s">
        <v>97</v>
      </c>
      <c r="C65" s="7" t="s">
        <v>2</v>
      </c>
      <c r="D65" s="22">
        <v>0</v>
      </c>
      <c r="E65" s="21">
        <v>0</v>
      </c>
      <c r="F65" s="11">
        <f t="shared" si="1"/>
        <v>0</v>
      </c>
    </row>
    <row r="66" spans="2:6" x14ac:dyDescent="0.3">
      <c r="B66" s="6" t="s">
        <v>11</v>
      </c>
      <c r="C66" s="7" t="s">
        <v>2</v>
      </c>
      <c r="D66" s="22">
        <v>0</v>
      </c>
      <c r="E66" s="21">
        <v>0</v>
      </c>
      <c r="F66" s="11">
        <f t="shared" si="1"/>
        <v>0</v>
      </c>
    </row>
    <row r="67" spans="2:6" x14ac:dyDescent="0.3">
      <c r="B67" s="6" t="s">
        <v>70</v>
      </c>
      <c r="C67" s="7" t="s">
        <v>2</v>
      </c>
      <c r="D67" s="22">
        <v>0</v>
      </c>
      <c r="E67" s="21">
        <v>0</v>
      </c>
      <c r="F67" s="11">
        <f t="shared" si="1"/>
        <v>0</v>
      </c>
    </row>
    <row r="68" spans="2:6" x14ac:dyDescent="0.3">
      <c r="B68" s="6" t="s">
        <v>71</v>
      </c>
      <c r="C68" s="7" t="s">
        <v>2</v>
      </c>
      <c r="D68" s="22">
        <v>0</v>
      </c>
      <c r="E68" s="21">
        <v>0</v>
      </c>
      <c r="F68" s="11">
        <f t="shared" si="1"/>
        <v>0</v>
      </c>
    </row>
    <row r="69" spans="2:6" x14ac:dyDescent="0.3">
      <c r="B69" s="6" t="s">
        <v>33</v>
      </c>
      <c r="C69" s="7" t="s">
        <v>2</v>
      </c>
      <c r="D69" s="22">
        <v>0</v>
      </c>
      <c r="E69" s="21">
        <v>0</v>
      </c>
      <c r="F69" s="11">
        <f t="shared" si="1"/>
        <v>0</v>
      </c>
    </row>
    <row r="70" spans="2:6" x14ac:dyDescent="0.3">
      <c r="B70" s="6" t="s">
        <v>34</v>
      </c>
      <c r="C70" s="7" t="s">
        <v>2</v>
      </c>
      <c r="D70" s="22">
        <v>0</v>
      </c>
      <c r="E70" s="21">
        <v>0</v>
      </c>
      <c r="F70" s="11">
        <f t="shared" si="1"/>
        <v>0</v>
      </c>
    </row>
    <row r="71" spans="2:6" x14ac:dyDescent="0.3">
      <c r="B71" s="6" t="s">
        <v>35</v>
      </c>
      <c r="C71" s="7" t="s">
        <v>2</v>
      </c>
      <c r="D71" s="22">
        <v>0</v>
      </c>
      <c r="E71" s="21">
        <v>0</v>
      </c>
      <c r="F71" s="11">
        <f t="shared" si="1"/>
        <v>0</v>
      </c>
    </row>
    <row r="72" spans="2:6" x14ac:dyDescent="0.3">
      <c r="B72" s="6" t="s">
        <v>36</v>
      </c>
      <c r="C72" s="7" t="s">
        <v>2</v>
      </c>
      <c r="D72" s="22">
        <v>0</v>
      </c>
      <c r="E72" s="21">
        <v>0</v>
      </c>
      <c r="F72" s="11">
        <f t="shared" si="1"/>
        <v>0</v>
      </c>
    </row>
    <row r="73" spans="2:6" x14ac:dyDescent="0.3">
      <c r="B73" s="6" t="s">
        <v>80</v>
      </c>
      <c r="C73" s="7" t="s">
        <v>2</v>
      </c>
      <c r="D73" s="22">
        <v>0</v>
      </c>
      <c r="E73" s="21">
        <v>0</v>
      </c>
      <c r="F73" s="11">
        <f t="shared" si="1"/>
        <v>0</v>
      </c>
    </row>
    <row r="74" spans="2:6" s="37" customFormat="1" ht="10.5" x14ac:dyDescent="0.3">
      <c r="B74" s="33"/>
      <c r="C74" s="34" t="s">
        <v>72</v>
      </c>
      <c r="D74" s="34"/>
      <c r="E74" s="35"/>
      <c r="F74" s="36">
        <f>SUM($F13:$F73)</f>
        <v>0</v>
      </c>
    </row>
    <row r="75" spans="2:6" ht="10.5" x14ac:dyDescent="0.3">
      <c r="B75" s="16" t="s">
        <v>73</v>
      </c>
      <c r="C75" s="17"/>
      <c r="D75" s="17"/>
      <c r="E75" s="17"/>
      <c r="F75" s="18"/>
    </row>
    <row r="76" spans="2:6" x14ac:dyDescent="0.3">
      <c r="B76" s="6" t="s">
        <v>22</v>
      </c>
      <c r="C76" s="7" t="s">
        <v>2</v>
      </c>
      <c r="D76" s="22">
        <v>0</v>
      </c>
      <c r="E76" s="21">
        <v>0</v>
      </c>
      <c r="F76" s="11">
        <f t="shared" ref="F76:F102" si="2">E76*D76</f>
        <v>0</v>
      </c>
    </row>
    <row r="77" spans="2:6" x14ac:dyDescent="0.3">
      <c r="B77" s="6" t="s">
        <v>3</v>
      </c>
      <c r="C77" s="7" t="s">
        <v>52</v>
      </c>
      <c r="D77" s="22">
        <v>0</v>
      </c>
      <c r="E77" s="21">
        <v>0</v>
      </c>
      <c r="F77" s="11">
        <f t="shared" si="2"/>
        <v>0</v>
      </c>
    </row>
    <row r="78" spans="2:6" x14ac:dyDescent="0.3">
      <c r="B78" s="6" t="s">
        <v>74</v>
      </c>
      <c r="C78" s="7" t="s">
        <v>2</v>
      </c>
      <c r="D78" s="22">
        <v>0</v>
      </c>
      <c r="E78" s="21">
        <v>0</v>
      </c>
      <c r="F78" s="11">
        <f t="shared" si="2"/>
        <v>0</v>
      </c>
    </row>
    <row r="79" spans="2:6" x14ac:dyDescent="0.3">
      <c r="B79" s="6" t="s">
        <v>75</v>
      </c>
      <c r="C79" s="7" t="s">
        <v>2</v>
      </c>
      <c r="D79" s="22">
        <v>0</v>
      </c>
      <c r="E79" s="21">
        <v>0</v>
      </c>
      <c r="F79" s="11">
        <f t="shared" si="2"/>
        <v>0</v>
      </c>
    </row>
    <row r="80" spans="2:6" x14ac:dyDescent="0.3">
      <c r="B80" s="6" t="s">
        <v>56</v>
      </c>
      <c r="C80" s="7" t="s">
        <v>2</v>
      </c>
      <c r="D80" s="22">
        <v>0</v>
      </c>
      <c r="E80" s="21">
        <v>0</v>
      </c>
      <c r="F80" s="11">
        <f t="shared" si="2"/>
        <v>0</v>
      </c>
    </row>
    <row r="81" spans="2:6" x14ac:dyDescent="0.3">
      <c r="B81" s="6" t="s">
        <v>88</v>
      </c>
      <c r="C81" s="7" t="s">
        <v>2</v>
      </c>
      <c r="D81" s="22">
        <v>0</v>
      </c>
      <c r="E81" s="21">
        <v>0</v>
      </c>
      <c r="F81" s="11">
        <f t="shared" si="2"/>
        <v>0</v>
      </c>
    </row>
    <row r="82" spans="2:6" x14ac:dyDescent="0.3">
      <c r="B82" s="6" t="s">
        <v>81</v>
      </c>
      <c r="C82" s="7" t="s">
        <v>2</v>
      </c>
      <c r="D82" s="22">
        <v>0</v>
      </c>
      <c r="E82" s="21">
        <v>0</v>
      </c>
      <c r="F82" s="11">
        <f t="shared" si="2"/>
        <v>0</v>
      </c>
    </row>
    <row r="83" spans="2:6" x14ac:dyDescent="0.3">
      <c r="B83" s="6" t="s">
        <v>82</v>
      </c>
      <c r="C83" s="7" t="s">
        <v>2</v>
      </c>
      <c r="D83" s="22">
        <v>0</v>
      </c>
      <c r="E83" s="21">
        <v>0</v>
      </c>
      <c r="F83" s="11">
        <f t="shared" si="2"/>
        <v>0</v>
      </c>
    </row>
    <row r="84" spans="2:6" x14ac:dyDescent="0.3">
      <c r="B84" s="6" t="s">
        <v>49</v>
      </c>
      <c r="C84" s="7" t="s">
        <v>2</v>
      </c>
      <c r="D84" s="22">
        <v>0</v>
      </c>
      <c r="E84" s="21">
        <v>0</v>
      </c>
      <c r="F84" s="11">
        <f t="shared" si="2"/>
        <v>0</v>
      </c>
    </row>
    <row r="85" spans="2:6" x14ac:dyDescent="0.3">
      <c r="B85" s="6" t="s">
        <v>90</v>
      </c>
      <c r="C85" s="7" t="s">
        <v>2</v>
      </c>
      <c r="D85" s="22">
        <v>0</v>
      </c>
      <c r="E85" s="21">
        <v>0</v>
      </c>
      <c r="F85" s="11">
        <f t="shared" si="2"/>
        <v>0</v>
      </c>
    </row>
    <row r="86" spans="2:6" x14ac:dyDescent="0.3">
      <c r="B86" s="6" t="s">
        <v>91</v>
      </c>
      <c r="C86" s="7" t="s">
        <v>2</v>
      </c>
      <c r="D86" s="22">
        <v>0</v>
      </c>
      <c r="E86" s="21">
        <v>0</v>
      </c>
      <c r="F86" s="11">
        <f t="shared" si="2"/>
        <v>0</v>
      </c>
    </row>
    <row r="87" spans="2:6" x14ac:dyDescent="0.3">
      <c r="B87" s="6" t="s">
        <v>92</v>
      </c>
      <c r="C87" s="7" t="s">
        <v>2</v>
      </c>
      <c r="D87" s="22">
        <v>0</v>
      </c>
      <c r="E87" s="21">
        <v>0</v>
      </c>
      <c r="F87" s="11">
        <f t="shared" si="2"/>
        <v>0</v>
      </c>
    </row>
    <row r="88" spans="2:6" x14ac:dyDescent="0.3">
      <c r="B88" s="6" t="s">
        <v>96</v>
      </c>
      <c r="C88" s="7" t="s">
        <v>2</v>
      </c>
      <c r="D88" s="22">
        <v>0</v>
      </c>
      <c r="E88" s="21">
        <v>0</v>
      </c>
      <c r="F88" s="11">
        <f t="shared" si="2"/>
        <v>0</v>
      </c>
    </row>
    <row r="89" spans="2:6" x14ac:dyDescent="0.3">
      <c r="B89" s="6" t="s">
        <v>93</v>
      </c>
      <c r="C89" s="7" t="s">
        <v>2</v>
      </c>
      <c r="D89" s="22">
        <v>0</v>
      </c>
      <c r="E89" s="21">
        <v>0</v>
      </c>
      <c r="F89" s="11">
        <f t="shared" si="2"/>
        <v>0</v>
      </c>
    </row>
    <row r="90" spans="2:6" x14ac:dyDescent="0.3">
      <c r="B90" s="6" t="s">
        <v>94</v>
      </c>
      <c r="C90" s="7" t="s">
        <v>2</v>
      </c>
      <c r="D90" s="22">
        <v>0</v>
      </c>
      <c r="E90" s="21">
        <v>0</v>
      </c>
      <c r="F90" s="11">
        <f t="shared" si="2"/>
        <v>0</v>
      </c>
    </row>
    <row r="91" spans="2:6" x14ac:dyDescent="0.3">
      <c r="B91" s="6" t="s">
        <v>83</v>
      </c>
      <c r="C91" s="7" t="s">
        <v>2</v>
      </c>
      <c r="D91" s="22">
        <v>0</v>
      </c>
      <c r="E91" s="21">
        <v>0</v>
      </c>
      <c r="F91" s="11">
        <f t="shared" si="2"/>
        <v>0</v>
      </c>
    </row>
    <row r="92" spans="2:6" x14ac:dyDescent="0.3">
      <c r="B92" s="6" t="s">
        <v>79</v>
      </c>
      <c r="C92" s="7" t="s">
        <v>52</v>
      </c>
      <c r="D92" s="22">
        <v>0</v>
      </c>
      <c r="E92" s="21">
        <v>0</v>
      </c>
      <c r="F92" s="11">
        <f t="shared" si="2"/>
        <v>0</v>
      </c>
    </row>
    <row r="93" spans="2:6" x14ac:dyDescent="0.3">
      <c r="B93" s="6" t="s">
        <v>84</v>
      </c>
      <c r="C93" s="7" t="s">
        <v>52</v>
      </c>
      <c r="D93" s="22">
        <v>0</v>
      </c>
      <c r="E93" s="21">
        <v>0</v>
      </c>
      <c r="F93" s="11">
        <f t="shared" si="2"/>
        <v>0</v>
      </c>
    </row>
    <row r="94" spans="2:6" x14ac:dyDescent="0.3">
      <c r="B94" s="6" t="s">
        <v>85</v>
      </c>
      <c r="C94" s="7" t="s">
        <v>52</v>
      </c>
      <c r="D94" s="22">
        <v>0</v>
      </c>
      <c r="E94" s="21">
        <v>0</v>
      </c>
      <c r="F94" s="11">
        <f t="shared" si="2"/>
        <v>0</v>
      </c>
    </row>
    <row r="95" spans="2:6" x14ac:dyDescent="0.3">
      <c r="B95" s="6" t="s">
        <v>86</v>
      </c>
      <c r="C95" s="7" t="s">
        <v>52</v>
      </c>
      <c r="D95" s="22">
        <v>0</v>
      </c>
      <c r="E95" s="21">
        <v>0</v>
      </c>
      <c r="F95" s="11">
        <f t="shared" si="2"/>
        <v>0</v>
      </c>
    </row>
    <row r="96" spans="2:6" x14ac:dyDescent="0.3">
      <c r="B96" s="6" t="s">
        <v>87</v>
      </c>
      <c r="C96" s="7" t="s">
        <v>52</v>
      </c>
      <c r="D96" s="22">
        <v>0</v>
      </c>
      <c r="E96" s="21">
        <v>0</v>
      </c>
      <c r="F96" s="11">
        <f t="shared" si="2"/>
        <v>0</v>
      </c>
    </row>
    <row r="97" spans="2:6" x14ac:dyDescent="0.3">
      <c r="B97" s="6" t="s">
        <v>28</v>
      </c>
      <c r="C97" s="7" t="s">
        <v>2</v>
      </c>
      <c r="D97" s="22">
        <v>0</v>
      </c>
      <c r="E97" s="21">
        <v>0</v>
      </c>
      <c r="F97" s="11">
        <f t="shared" si="2"/>
        <v>0</v>
      </c>
    </row>
    <row r="98" spans="2:6" x14ac:dyDescent="0.3">
      <c r="B98" s="6" t="s">
        <v>29</v>
      </c>
      <c r="C98" s="7" t="s">
        <v>2</v>
      </c>
      <c r="D98" s="22">
        <v>0</v>
      </c>
      <c r="E98" s="21">
        <v>0</v>
      </c>
      <c r="F98" s="11">
        <f t="shared" si="2"/>
        <v>0</v>
      </c>
    </row>
    <row r="99" spans="2:6" x14ac:dyDescent="0.3">
      <c r="B99" s="6" t="s">
        <v>95</v>
      </c>
      <c r="C99" s="7" t="s">
        <v>2</v>
      </c>
      <c r="D99" s="22">
        <v>0</v>
      </c>
      <c r="E99" s="21">
        <v>0</v>
      </c>
      <c r="F99" s="11">
        <f t="shared" si="2"/>
        <v>0</v>
      </c>
    </row>
    <row r="100" spans="2:6" x14ac:dyDescent="0.3">
      <c r="B100" s="6" t="s">
        <v>30</v>
      </c>
      <c r="C100" s="7" t="s">
        <v>2</v>
      </c>
      <c r="D100" s="22">
        <v>0</v>
      </c>
      <c r="E100" s="21">
        <v>0</v>
      </c>
      <c r="F100" s="11">
        <f t="shared" si="2"/>
        <v>0</v>
      </c>
    </row>
    <row r="101" spans="2:6" x14ac:dyDescent="0.3">
      <c r="B101" s="6" t="s">
        <v>31</v>
      </c>
      <c r="C101" s="7" t="s">
        <v>52</v>
      </c>
      <c r="D101" s="22">
        <v>0</v>
      </c>
      <c r="E101" s="21">
        <v>0</v>
      </c>
      <c r="F101" s="11">
        <f t="shared" si="2"/>
        <v>0</v>
      </c>
    </row>
    <row r="102" spans="2:6" x14ac:dyDescent="0.3">
      <c r="B102" s="6" t="s">
        <v>32</v>
      </c>
      <c r="C102" s="7" t="s">
        <v>2</v>
      </c>
      <c r="D102" s="22">
        <v>0</v>
      </c>
      <c r="E102" s="21">
        <v>0</v>
      </c>
      <c r="F102" s="11">
        <f t="shared" si="2"/>
        <v>0</v>
      </c>
    </row>
    <row r="103" spans="2:6" s="37" customFormat="1" ht="10.5" x14ac:dyDescent="0.3">
      <c r="B103" s="33"/>
      <c r="C103" s="34" t="s">
        <v>76</v>
      </c>
      <c r="D103" s="34"/>
      <c r="E103" s="35"/>
      <c r="F103" s="36">
        <f>SUM($F76:$F102)</f>
        <v>0</v>
      </c>
    </row>
    <row r="104" spans="2:6" ht="10.5" x14ac:dyDescent="0.3">
      <c r="B104" s="16" t="s">
        <v>78</v>
      </c>
      <c r="C104" s="17"/>
      <c r="D104" s="17"/>
      <c r="E104" s="17"/>
      <c r="F104" s="19"/>
    </row>
    <row r="105" spans="2:6" x14ac:dyDescent="0.3">
      <c r="B105" s="20"/>
      <c r="C105" s="29"/>
      <c r="D105" s="30"/>
      <c r="E105" s="31"/>
      <c r="F105" s="21">
        <v>0</v>
      </c>
    </row>
    <row r="106" spans="2:6" x14ac:dyDescent="0.3">
      <c r="B106" s="20"/>
      <c r="C106" s="28"/>
      <c r="D106" s="12"/>
      <c r="E106" s="13"/>
      <c r="F106" s="21">
        <v>0</v>
      </c>
    </row>
    <row r="107" spans="2:6" x14ac:dyDescent="0.3">
      <c r="B107" s="20"/>
      <c r="C107" s="28"/>
      <c r="D107" s="12"/>
      <c r="E107" s="13"/>
      <c r="F107" s="21">
        <v>0</v>
      </c>
    </row>
    <row r="108" spans="2:6" x14ac:dyDescent="0.3">
      <c r="B108" s="20"/>
      <c r="C108" s="28"/>
      <c r="D108" s="12"/>
      <c r="E108" s="13"/>
      <c r="F108" s="21">
        <v>0</v>
      </c>
    </row>
    <row r="109" spans="2:6" x14ac:dyDescent="0.3">
      <c r="B109" s="20"/>
      <c r="C109" s="28"/>
      <c r="D109" s="12"/>
      <c r="E109" s="13"/>
      <c r="F109" s="21">
        <v>0</v>
      </c>
    </row>
    <row r="110" spans="2:6" x14ac:dyDescent="0.3">
      <c r="B110" s="20"/>
      <c r="C110" s="28"/>
      <c r="D110" s="12"/>
      <c r="E110" s="13"/>
      <c r="F110" s="21">
        <v>0</v>
      </c>
    </row>
    <row r="111" spans="2:6" x14ac:dyDescent="0.3">
      <c r="B111" s="20"/>
      <c r="C111" s="28"/>
      <c r="D111" s="32"/>
      <c r="E111" s="13"/>
      <c r="F111" s="21">
        <v>0</v>
      </c>
    </row>
    <row r="112" spans="2:6" x14ac:dyDescent="0.3">
      <c r="B112" s="20"/>
      <c r="C112" s="28"/>
      <c r="D112" s="32"/>
      <c r="E112" s="13"/>
      <c r="F112" s="21">
        <v>0</v>
      </c>
    </row>
    <row r="113" spans="2:6" x14ac:dyDescent="0.3">
      <c r="B113" s="20"/>
      <c r="C113" s="28"/>
      <c r="D113" s="32"/>
      <c r="E113" s="13"/>
      <c r="F113" s="21">
        <v>0</v>
      </c>
    </row>
    <row r="114" spans="2:6" x14ac:dyDescent="0.3">
      <c r="B114" s="20"/>
      <c r="C114" s="28"/>
      <c r="D114" s="32"/>
      <c r="E114" s="13"/>
      <c r="F114" s="21">
        <v>0</v>
      </c>
    </row>
    <row r="115" spans="2:6" s="37" customFormat="1" ht="10.5" x14ac:dyDescent="0.3">
      <c r="B115" s="33"/>
      <c r="C115" s="34" t="s">
        <v>77</v>
      </c>
      <c r="D115" s="34"/>
      <c r="E115" s="35"/>
      <c r="F115" s="36">
        <f>SUM($F105:$F114)</f>
        <v>0</v>
      </c>
    </row>
    <row r="116" spans="2:6" s="26" customFormat="1" ht="11.5" x14ac:dyDescent="0.3">
      <c r="B116" s="23"/>
      <c r="C116" s="27" t="s">
        <v>51</v>
      </c>
      <c r="D116" s="27"/>
      <c r="E116" s="24"/>
      <c r="F116" s="25">
        <f>SUM($F74,$F103,$F115)</f>
        <v>0</v>
      </c>
    </row>
    <row r="119" spans="2:6" s="39" customFormat="1" ht="13" x14ac:dyDescent="0.3">
      <c r="B119" s="43" t="s">
        <v>103</v>
      </c>
      <c r="C119" s="43"/>
      <c r="D119" s="43"/>
      <c r="E119" s="43"/>
      <c r="F119" s="43"/>
    </row>
  </sheetData>
  <sheetProtection algorithmName="SHA-512" hashValue="t9sKlheeFJM7DC4OKIvW3LNb+VlmO/1gYK3UhH0eTg96VMUFEGcp1tA8eLnTGc1mxdj2jVAeVC5V7a5SVvOU/g==" saltValue="U1A0bdLkEccYw4dtSq+J+g==" spinCount="100000" sheet="1" autoFilter="0"/>
  <protectedRanges>
    <protectedRange sqref="B8:F8 B10:F10 B105:B114 F105:F114 D76:E102 D13:E73" name="ModifyRange"/>
  </protectedRanges>
  <autoFilter ref="B12:F116" xr:uid="{00000000-0009-0000-0000-000000000000}"/>
  <mergeCells count="8">
    <mergeCell ref="B119:F119"/>
    <mergeCell ref="C10:D10"/>
    <mergeCell ref="E10:F10"/>
    <mergeCell ref="B5:F5"/>
    <mergeCell ref="B7:D7"/>
    <mergeCell ref="B8:D8"/>
    <mergeCell ref="C9:D9"/>
    <mergeCell ref="E9:F9"/>
  </mergeCells>
  <phoneticPr fontId="1" type="noConversion"/>
  <printOptions horizontalCentered="1"/>
  <pageMargins left="0" right="0.19685039370078741" top="0.19685039370078741" bottom="0.39370078740157483" header="0.19685039370078741" footer="0.19685039370078741"/>
  <pageSetup paperSize="9" scale="88" orientation="portrait" r:id="rId1"/>
  <headerFooter alignWithMargins="0">
    <oddFooter>&amp;L&amp;"Helvetica,Regular"&amp;6&amp;F&amp;C&amp;6Page &amp;P&amp;R&amp;6&amp;D v3.0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22" sqref="E22"/>
    </sheetView>
  </sheetViews>
  <sheetFormatPr defaultRowHeight="13.5" x14ac:dyDescent="0.3"/>
  <cols>
    <col min="1" max="1" width="13.3828125" bestFit="1" customWidth="1"/>
    <col min="2" max="2" width="25" bestFit="1" customWidth="1"/>
    <col min="3" max="3" width="24.921875" bestFit="1" customWidth="1"/>
    <col min="4" max="4" width="24" bestFit="1" customWidth="1"/>
    <col min="5" max="5" width="10.69140625" bestFit="1" customWidth="1"/>
  </cols>
  <sheetData>
    <row r="1" spans="1:5" x14ac:dyDescent="0.3">
      <c r="A1" t="s">
        <v>112</v>
      </c>
      <c r="B1" t="s">
        <v>113</v>
      </c>
      <c r="C1" t="s">
        <v>114</v>
      </c>
      <c r="D1" t="s">
        <v>115</v>
      </c>
      <c r="E1" t="s">
        <v>116</v>
      </c>
    </row>
    <row r="2" spans="1:5" x14ac:dyDescent="0.3">
      <c r="A2" t="str">
        <f>'Bid Details'!B8</f>
        <v>49466087 CRFQ1</v>
      </c>
      <c r="B2" t="str">
        <f>'Bid Details'!B10</f>
        <v>[Enter company name here.]</v>
      </c>
      <c r="C2" t="str">
        <f>'Bid Details'!C10</f>
        <v>[Enter vendor number here.]</v>
      </c>
      <c r="D2" t="str">
        <f>'Bid Details'!E10</f>
        <v>[Enter quote number here.]</v>
      </c>
      <c r="E2">
        <f>'Bid Details'!F116</f>
        <v>0</v>
      </c>
    </row>
  </sheetData>
  <sheetProtection algorithmName="SHA-512" hashValue="LQj9htB/6BVfmzL8dADYRLWhVcjS7tPp6IbP8FpsV9iSMUKoAJvbK2ikQQDyZ0XED62EHtLvquPcw2DwzbZRpA==" saltValue="zI55MyVZPxlfPbOQYe04q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C80857D0AF7445BD596C1D8822F24B" ma:contentTypeVersion="" ma:contentTypeDescription="Create a new document." ma:contentTypeScope="" ma:versionID="15faabb8b4ba6982ae631870f36d71db">
  <xsd:schema xmlns:xsd="http://www.w3.org/2001/XMLSchema" xmlns:xs="http://www.w3.org/2001/XMLSchema" xmlns:p="http://schemas.microsoft.com/office/2006/metadata/properties" xmlns:ns2="111080e6-9b0b-496a-8a3e-9cdd9195a9b5" xmlns:ns3="b153beaa-4050-4858-9614-c9cca1523890" targetNamespace="http://schemas.microsoft.com/office/2006/metadata/properties" ma:root="true" ma:fieldsID="5de431fec4745c613f65fb1f0224ff8a" ns2:_="" ns3:_="">
    <xsd:import namespace="111080e6-9b0b-496a-8a3e-9cdd9195a9b5"/>
    <xsd:import namespace="b153beaa-4050-4858-9614-c9cca15238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080e6-9b0b-496a-8a3e-9cdd9195a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3456c3a-bcae-4b8d-89bc-5e5e8e179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3beaa-4050-4858-9614-c9cca152389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fcc9ad2-543e-4a13-b7d3-c1abfb3e0a2a}" ma:internalName="TaxCatchAll" ma:showField="CatchAllData" ma:web="b153beaa-4050-4858-9614-c9cca15238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53beaa-4050-4858-9614-c9cca1523890" xsi:nil="true"/>
    <lcf76f155ced4ddcb4097134ff3c332f xmlns="111080e6-9b0b-496a-8a3e-9cdd9195a9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37336A-B8CD-4412-9844-6B1C19674E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080e6-9b0b-496a-8a3e-9cdd9195a9b5"/>
    <ds:schemaRef ds:uri="b153beaa-4050-4858-9614-c9cca1523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F301FF-CAB4-4415-903A-8B10609FAF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AAEB72-8DDF-4719-B38D-38B74D2E476B}">
  <ds:schemaRefs>
    <ds:schemaRef ds:uri="http://schemas.microsoft.com/office/2006/metadata/properties"/>
    <ds:schemaRef ds:uri="http://schemas.microsoft.com/office/infopath/2007/PartnerControls"/>
    <ds:schemaRef ds:uri="b153beaa-4050-4858-9614-c9cca1523890"/>
    <ds:schemaRef ds:uri="111080e6-9b0b-496a-8a3e-9cdd9195a9b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Bid Details</vt:lpstr>
      <vt:lpstr>Import Data</vt:lpstr>
      <vt:lpstr>'Bid Details'!Print_Area</vt:lpstr>
      <vt:lpstr>'Bid Details'!Print_Titles</vt:lpstr>
    </vt:vector>
  </TitlesOfParts>
  <Company>Optus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Mok</dc:creator>
  <cp:lastModifiedBy>Carmel Bugeja</cp:lastModifiedBy>
  <cp:lastPrinted>2011-01-24T04:55:42Z</cp:lastPrinted>
  <dcterms:created xsi:type="dcterms:W3CDTF">2010-01-25T01:05:52Z</dcterms:created>
  <dcterms:modified xsi:type="dcterms:W3CDTF">2026-01-13T19:54:47Z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0x01010092C80857D0AF7445BD596C1D8822F24B</vt:lpwstr>
  </property>
</Properties>
</file>