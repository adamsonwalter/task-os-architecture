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 History" sheetId="1" state="visible" r:id="rId3"/>
    <sheet name="Market Intelligence Feed" sheetId="2" state="visible" r:id="rId4"/>
    <sheet name="Usage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<sst xmlns="http://schemas.openxmlformats.org/spreadsheetml/2006/main" count="129" uniqueCount="105">
  <si>
    <t xml:space="preserve">GND Civil — RC4 Quote History  |  Win/Loss outcomes + market signal  |  Karen updates after every Optus response</t>
  </si>
  <si>
    <t xml:space="preserve">PURPOSE: RC4 drives the market signal in Phase 2 (Priced Quote) and Phase V (Rate Validation). Minimum 3 comparable jobs required for a market signal to be generated. Karen: update Win/Loss and Winning Bid columns as soon as Optus responds.</t>
  </si>
  <si>
    <t xml:space="preserve">Order
Number</t>
  </si>
  <si>
    <t xml:space="preserve">Date
Submitted</t>
  </si>
  <si>
    <t xml:space="preserve">Suburb</t>
  </si>
  <si>
    <t xml:space="preserve">Council
Area</t>
  </si>
  <si>
    <t xml:space="preserve">State</t>
  </si>
  <si>
    <t xml:space="preserve">Complexity
Tier</t>
  </si>
  <si>
    <t xml:space="preserve">GND Quoted
($)</t>
  </si>
  <si>
    <t xml:space="preserve">Win /
Loss</t>
  </si>
  <si>
    <t xml:space="preserve">Winning
Bid ($)</t>
  </si>
  <si>
    <t xml:space="preserve">Variance
%</t>
  </si>
  <si>
    <t xml:space="preserve">Cluster /
Job Type</t>
  </si>
  <si>
    <t xml:space="preserve">Key Notes / Lessons</t>
  </si>
  <si>
    <t xml:space="preserve">EO35714250</t>
  </si>
  <si>
    <t xml:space="preserve">Feb 2026</t>
  </si>
  <si>
    <t xml:space="preserve">Altona North</t>
  </si>
  <si>
    <t xml:space="preserve">Hobsons Bay CC</t>
  </si>
  <si>
    <t xml:space="preserve">VIC</t>
  </si>
  <si>
    <t xml:space="preserve">Medium</t>
  </si>
  <si>
    <t xml:space="preserve">PENDING</t>
  </si>
  <si>
    <t xml:space="preserve">GK366 Small Cells</t>
  </si>
  <si>
    <t xml:space="preserve">Design v0. Buried pit D + unlocated P9. Hakan (PE). Telstra RRP required before W2.</t>
  </si>
  <si>
    <t xml:space="preserve">EO36932149</t>
  </si>
  <si>
    <t xml:space="preserve">Golden Grove</t>
  </si>
  <si>
    <t xml:space="preserve">City of Salisbury</t>
  </si>
  <si>
    <t xml:space="preserve">SA</t>
  </si>
  <si>
    <t xml:space="preserve">High</t>
  </si>
  <si>
    <t xml:space="preserve">NOT QUOTED</t>
  </si>
  <si>
    <t xml:space="preserve">TH607 NGCE Fibre</t>
  </si>
  <si>
    <t xml:space="preserve">ACM pit HS-002 — cannot quote until hazmat scope confirmed by Damian.</t>
  </si>
  <si>
    <t xml:space="preserve">EO38407216</t>
  </si>
  <si>
    <t xml:space="preserve">North Adelaide / Fitzroy</t>
  </si>
  <si>
    <t xml:space="preserve">City of Adelaide + City of Prospect</t>
  </si>
  <si>
    <t xml:space="preserve">TXM NGCE-Fibre O5NA</t>
  </si>
  <si>
    <t xml:space="preserve">EM30 heritage all 9 sections HS-003. Do not mobilise without written Council Heritage approval.</t>
  </si>
  <si>
    <t xml:space="preserve">EO46092659</t>
  </si>
  <si>
    <t xml:space="preserve">Tootgarook</t>
  </si>
  <si>
    <t xml:space="preserve">Mornington Peninsula Shire</t>
  </si>
  <si>
    <t xml:space="preserve">GL168 5G GF Fibre FY26</t>
  </si>
  <si>
    <t xml:space="preserve">EM21 CHMP HS-004 — 6–12 months. 5 unlocated pits. Do not commit start date.</t>
  </si>
  <si>
    <t xml:space="preserve">EO49466087</t>
  </si>
  <si>
    <t xml:space="preserve">Thurgoona</t>
  </si>
  <si>
    <t xml:space="preserve">Albury City Council</t>
  </si>
  <si>
    <t xml:space="preserve">NSW</t>
  </si>
  <si>
    <t xml:space="preserve">NBN Co pit HS-006 + Essential Energy HV HS-005. Both Hard Stops require Damian resolution before quoting.</t>
  </si>
  <si>
    <t xml:space="preserve">MARKET SIGNAL SUMMARY  |  Auto-updates as rows are added</t>
  </si>
  <si>
    <t xml:space="preserve">Total jobs logged:</t>
  </si>
  <si>
    <t xml:space="preserve">Jobs with outcome (Win or Loss):</t>
  </si>
  <si>
    <t xml:space="preserve">Win rate (all jobs with outcome):</t>
  </si>
  <si>
    <t xml:space="preserve">Avg GND quoted (wins):</t>
  </si>
  <si>
    <t xml:space="preserve">Avg winning bid (all outcomes):</t>
  </si>
  <si>
    <t xml:space="preserve">GND Civil — Market Intelligence Feed  |  /listen entries paste here  |  Feb 2026</t>
  </si>
  <si>
    <t xml:space="preserve">Paste /listen output entries here as they are generated. Each entry = one field observation from Damian, Craig, or Karen. This feed is the source for Cache E loading in the Ingestion protocol. Tag-search by suburb, council, PE name, or carrier type.</t>
  </si>
  <si>
    <t xml:space="preserve">Date</t>
  </si>
  <si>
    <t xml:space="preserve">Source
(Damian/Craig/Karen)</t>
  </si>
  <si>
    <t xml:space="preserve">Order / Context</t>
  </si>
  <si>
    <t xml:space="preserve">Category</t>
  </si>
  <si>
    <t xml:space="preserve">Observation</t>
  </si>
  <si>
    <t xml:space="preserve">Action Items (⚡)</t>
  </si>
  <si>
    <t xml:space="preserve">Tags</t>
  </si>
  <si>
    <t xml:space="preserve">Status</t>
  </si>
  <si>
    <t xml:space="preserve">Damian</t>
  </si>
  <si>
    <t xml:space="preserve">TELSTRA-INFRASTRUCTURE</t>
  </si>
  <si>
    <t xml:space="preserve">Telstra Pit D likely buried ~400mm under 2022 footpath reseal. Hobsons Bay CC resurfaced Collins Ave in 2022 after pit was installed. Pit D may not be accessible without council records confirming depth.</t>
  </si>
  <si>
    <t xml:space="preserve">⚡ Damian — call Hobsons Bay council records before Craig's walk to confirm 2022 reseal depth over Pit D location.</t>
  </si>
  <si>
    <t xml:space="preserve">#altona-north #hobsons-bay #telstra-buried-pit #EO35714250</t>
  </si>
  <si>
    <t xml:space="preserve">OPEN</t>
  </si>
  <si>
    <t xml:space="preserve">PE-RELATIONSHIP</t>
  </si>
  <si>
    <t xml:space="preserve">Hakan (Optus PE, Victoria) expects SWMS submitted before kickoff request — not just on site on day 1. Also checks first aid kit expiry date specifically, not just presence of kit.</t>
  </si>
  <si>
    <t xml:space="preserve">⚡ Karen — add Hakan SWMS-before-kickoff requirement to all VIC DCAF pre-mob checklists. ⚡ Craig — check first aid kit expiry date before every VIC job kickoff.</t>
  </si>
  <si>
    <t xml:space="preserve">#hakan-pe #victoria #pe-relationship #EO35714250</t>
  </si>
  <si>
    <t xml:space="preserve">ACTIVE — apply to all VIC jobs</t>
  </si>
  <si>
    <t xml:space="preserve">Pit G08 confirmed ACM (asbestos cement) in Golden Grove SA job. Hazmat contractor required before any works on or near that pit. Cannot estimate scope without licensed assessment.</t>
  </si>
  <si>
    <t xml:space="preserve">⚡ Damian — engage hazmat contractor for G08 assessment before quoting EO36932149.</t>
  </si>
  <si>
    <t xml:space="preserve">#golden-grove #city-of-salisbury #acm-pit #telstra-acm #EO36932149</t>
  </si>
  <si>
    <t xml:space="preserve">BLOCKED — awaiting hazmat assessment</t>
  </si>
  <si>
    <t xml:space="preserve">Karen</t>
  </si>
  <si>
    <t xml:space="preserve">COUNCIL-AUTHORITY</t>
  </si>
  <si>
    <t xml:space="preserve">EO38407216 North Adelaide / Fitzroy spans three council jurisdictions: City of Adelaide, City of Prospect, and Dept for Infrastructure &amp; Transport SA. EM30 heritage applies across all 9 sections. Three separate permit applications may be required.</t>
  </si>
  <si>
    <t xml:space="preserve">⚡ Karen — confirm with Optus PM whether single heritage application covers all three jurisdictions or separate applications needed for each.</t>
  </si>
  <si>
    <t xml:space="preserve">#north-adelaide #fitzroy #city-of-adelaide #city-of-prospect #em30-heritage #sa #EO38407216</t>
  </si>
  <si>
    <t xml:space="preserve">OPEN — awaiting Optus PM confirmation</t>
  </si>
  <si>
    <t xml:space="preserve">RC4 Usage Guide  |  How this file feeds the quoting system</t>
  </si>
  <si>
    <t xml:space="preserve">WHAT RC4 DOES</t>
  </si>
  <si>
    <t xml:space="preserve">Market Signal</t>
  </si>
  <si>
    <t xml:space="preserve">When the SKILL runs a quote (Phase 2), it reads RC4 Quote History and calculates: avg GND quoted, avg winning bid, and win rate for the same suburb/council/complexity tier. If ≥3 comparable jobs exist, a market signal is generated and the Market Override column is flagged in the priced quote.</t>
  </si>
  <si>
    <t xml:space="preserve">Rate Validation</t>
  </si>
  <si>
    <t xml:space="preserve">Phase V (/validate command) uses RC4 to flag any line items where GND's rate is &gt;10% above or below comparable jobs. This is the rate calibration loop — it closes the gap between estimated rates and field-validated rates.</t>
  </si>
  <si>
    <t xml:space="preserve">Intelligence Feed</t>
  </si>
  <si>
    <t xml:space="preserve">The Market Intelligence Feed tab stores all /listen entries. When the Ingestion protocol runs Cache E loading, it searches this tab for suburb, council, PE name, and carrier type matches.</t>
  </si>
  <si>
    <t xml:space="preserve">HOW TO MAINTAIN RC4</t>
  </si>
  <si>
    <t xml:space="preserve">After every Optus response</t>
  </si>
  <si>
    <t xml:space="preserve">Karen updates Quote History: Win/Loss, Winning Bid ($). The Variance % formula calculates automatically.</t>
  </si>
  <si>
    <t xml:space="preserve">After every /listen entry</t>
  </si>
  <si>
    <t xml:space="preserve">Paste the formatted /listen output into Market Intelligence Feed. One row per observation.</t>
  </si>
  <si>
    <t xml:space="preserve">Quarterly review</t>
  </si>
  <si>
    <t xml:space="preserve">Damian reviews win rate by suburb and complexity tier. If win rate &lt; 40% in any tier, review subcontractor rates (RC1-COST) or market pricing strategy — not the margin target.</t>
  </si>
  <si>
    <t xml:space="preserve">WHAT RC4 IS NOT</t>
  </si>
  <si>
    <t xml:space="preserve">Not a financial model</t>
  </si>
  <si>
    <t xml:space="preserve">RC4 does not calculate GND's revenue or profit. It tracks market outcomes to calibrate future quotes.</t>
  </si>
  <si>
    <t xml:space="preserve">Not a CRM</t>
  </si>
  <si>
    <t xml:space="preserve">RC4 does not manage Optus relationships. PE observations live in Market Intelligence Feed — not in a CRM field.</t>
  </si>
  <si>
    <t xml:space="preserve">Not a project tracker</t>
  </si>
  <si>
    <t xml:space="preserve">RC4 does not track job progress. That is the DCAF system and Konect.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</si>
</sst>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9FF"/>
        <bgColor rgb="FFFFFFFF"/>
      </patternFill>
    </fill>
    <fill>
      <patternFill patternType="solid">
        <fgColor rgb="FFD6E4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EEEEEE"/>
        <bgColor rgb="FFE2EFDA"/>
      </patternFill>
    </fill>
    <fill>
      <patternFill patternType="solid">
        <fgColor rgb="FFE2EFDA"/>
        <bgColor rgb="FFEEEEEE"/>
      </patternFill>
    </fill>
    <fill>
      <patternFill patternType="solid">
        <fgColor rgb="FF00B050"/>
        <bgColor rgb="FF008080"/>
      </patternFill>
    </fill>
    <fill>
      <patternFill patternType="solid">
        <fgColor rgb="FFFCE4D6"/>
        <bgColor rgb="FFFFF2CC"/>
      </patternFill>
    </fill>
    <fill>
      <patternFill patternType="solid">
        <fgColor rgb="FF444444"/>
        <bgColor rgb="FF555555"/>
      </patternFill>
    </fill>
    <fill>
      <patternFill patternType="solid">
        <fgColor rgb="FF2E5EA8"/>
        <bgColor rgb="FF3366FF"/>
      </patternFill>
    </fill>
    <fill>
      <patternFill patternType="solid">
        <fgColor rgb="FFFFFFFF"/>
        <bgColor rgb="FFF5F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F5F9FF"/>
      <rgbColor rgb="FF660066"/>
      <rgbColor rgb="FFFF8080"/>
      <rgbColor rgb="FF2E5EA8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00B050"/>
      <rgbColor rgb="FF003300"/>
      <rgbColor rgb="FF444444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A8"/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3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2" hidden="false" customHeight="true" outlineLevel="0" collapsed="false">
      <c r="A5" s="4" t="s">
        <v>14</v>
      </c>
      <c r="B5" s="5" t="s">
        <v>15</v>
      </c>
      <c r="C5" s="6" t="s">
        <v>16</v>
      </c>
      <c r="D5" s="7" t="s">
        <v>17</v>
      </c>
      <c r="E5" s="8" t="s">
        <v>18</v>
      </c>
      <c r="F5" s="5" t="s">
        <v>19</v>
      </c>
      <c r="G5" s="9" t="n">
        <v>101836</v>
      </c>
      <c r="H5" s="10" t="s">
        <v>20</v>
      </c>
      <c r="I5" s="11"/>
      <c r="J5" s="12" t="str">
        <f aca="false">IF(AND(I5&gt;0,G5&gt;0),(G5-I5)/I5,"")</f>
        <v/>
      </c>
      <c r="K5" s="7" t="s">
        <v>21</v>
      </c>
      <c r="L5" s="13" t="s">
        <v>22</v>
      </c>
    </row>
    <row r="6" customFormat="false" ht="42" hidden="false" customHeight="true" outlineLevel="0" collapsed="false">
      <c r="A6" s="4" t="s">
        <v>23</v>
      </c>
      <c r="B6" s="5" t="s">
        <v>15</v>
      </c>
      <c r="C6" s="6" t="s">
        <v>24</v>
      </c>
      <c r="D6" s="7" t="s">
        <v>25</v>
      </c>
      <c r="E6" s="8" t="s">
        <v>26</v>
      </c>
      <c r="F6" s="5" t="s">
        <v>27</v>
      </c>
      <c r="G6" s="14"/>
      <c r="H6" s="15" t="s">
        <v>28</v>
      </c>
      <c r="I6" s="11"/>
      <c r="J6" s="12" t="str">
        <f aca="false">IF(AND(I6&gt;0,G6&gt;0),(G6-I6)/I6,"")</f>
        <v/>
      </c>
      <c r="K6" s="7" t="s">
        <v>29</v>
      </c>
      <c r="L6" s="13" t="s">
        <v>30</v>
      </c>
    </row>
    <row r="7" customFormat="false" ht="42" hidden="false" customHeight="true" outlineLevel="0" collapsed="false">
      <c r="A7" s="4" t="s">
        <v>31</v>
      </c>
      <c r="B7" s="5" t="s">
        <v>15</v>
      </c>
      <c r="C7" s="6" t="s">
        <v>32</v>
      </c>
      <c r="D7" s="7" t="s">
        <v>33</v>
      </c>
      <c r="E7" s="8" t="s">
        <v>26</v>
      </c>
      <c r="F7" s="5" t="s">
        <v>27</v>
      </c>
      <c r="G7" s="14"/>
      <c r="H7" s="15" t="s">
        <v>28</v>
      </c>
      <c r="I7" s="11"/>
      <c r="J7" s="12" t="str">
        <f aca="false">IF(AND(I7&gt;0,G7&gt;0),(G7-I7)/I7,"")</f>
        <v/>
      </c>
      <c r="K7" s="7" t="s">
        <v>34</v>
      </c>
      <c r="L7" s="13" t="s">
        <v>35</v>
      </c>
    </row>
    <row r="8" customFormat="false" ht="42" hidden="false" customHeight="true" outlineLevel="0" collapsed="false">
      <c r="A8" s="4" t="s">
        <v>36</v>
      </c>
      <c r="B8" s="5" t="s">
        <v>15</v>
      </c>
      <c r="C8" s="6" t="s">
        <v>37</v>
      </c>
      <c r="D8" s="7" t="s">
        <v>38</v>
      </c>
      <c r="E8" s="8" t="s">
        <v>18</v>
      </c>
      <c r="F8" s="5" t="s">
        <v>27</v>
      </c>
      <c r="G8" s="14"/>
      <c r="H8" s="15" t="s">
        <v>28</v>
      </c>
      <c r="I8" s="11"/>
      <c r="J8" s="12" t="str">
        <f aca="false">IF(AND(I8&gt;0,G8&gt;0),(G8-I8)/I8,"")</f>
        <v/>
      </c>
      <c r="K8" s="7" t="s">
        <v>39</v>
      </c>
      <c r="L8" s="13" t="s">
        <v>40</v>
      </c>
    </row>
    <row r="9" customFormat="false" ht="42" hidden="false" customHeight="true" outlineLevel="0" collapsed="false">
      <c r="A9" s="4" t="s">
        <v>41</v>
      </c>
      <c r="B9" s="5" t="s">
        <v>15</v>
      </c>
      <c r="C9" s="6" t="s">
        <v>42</v>
      </c>
      <c r="D9" s="7" t="s">
        <v>43</v>
      </c>
      <c r="E9" s="8" t="s">
        <v>44</v>
      </c>
      <c r="F9" s="5" t="s">
        <v>27</v>
      </c>
      <c r="G9" s="14"/>
      <c r="H9" s="15" t="s">
        <v>28</v>
      </c>
      <c r="I9" s="11"/>
      <c r="J9" s="12" t="str">
        <f aca="false">IF(AND(I9&gt;0,G9&gt;0),(G9-I9)/I9,"")</f>
        <v/>
      </c>
      <c r="K9" s="7" t="s">
        <v>39</v>
      </c>
      <c r="L9" s="13" t="s">
        <v>45</v>
      </c>
    </row>
    <row r="10" customFormat="false" ht="6" hidden="false" customHeight="true" outlineLevel="0" collapsed="false"/>
    <row r="11" customFormat="false" ht="18" hidden="false" customHeight="true" outlineLevel="0" collapsed="false">
      <c r="A11" s="16" t="s">
        <v>46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customFormat="false" ht="18" hidden="false" customHeight="true" outlineLevel="0" collapsed="false">
      <c r="A12" s="17" t="s">
        <v>47</v>
      </c>
      <c r="B12" s="17"/>
      <c r="C12" s="17"/>
      <c r="D12" s="17"/>
      <c r="E12" s="17"/>
      <c r="F12" s="17"/>
      <c r="G12" s="18" t="n">
        <f aca="false">COUNTA(A5:A9)</f>
        <v>5</v>
      </c>
    </row>
    <row r="13" customFormat="false" ht="18" hidden="false" customHeight="true" outlineLevel="0" collapsed="false">
      <c r="A13" s="17" t="s">
        <v>48</v>
      </c>
      <c r="B13" s="17"/>
      <c r="C13" s="17"/>
      <c r="D13" s="17"/>
      <c r="E13" s="17"/>
      <c r="F13" s="17"/>
      <c r="G13" s="18" t="n">
        <f aca="false">COUNTIF(H5:H9,"WIN")+COUNTIF(H5:H9,"LOSS")</f>
        <v>0</v>
      </c>
    </row>
    <row r="14" customFormat="false" ht="18" hidden="false" customHeight="true" outlineLevel="0" collapsed="false">
      <c r="A14" s="17" t="s">
        <v>49</v>
      </c>
      <c r="B14" s="17"/>
      <c r="C14" s="17"/>
      <c r="D14" s="17"/>
      <c r="E14" s="17"/>
      <c r="F14" s="17"/>
      <c r="G14" s="18" t="str">
        <f aca="false">IFERROR(COUNTIF(H5:H9,"WIN")/(COUNTIF(H5:H9,"WIN")+COUNTIF(H5:H9,"LOSS")),"-")</f>
        <v>-</v>
      </c>
    </row>
    <row r="15" customFormat="false" ht="18" hidden="false" customHeight="true" outlineLevel="0" collapsed="false">
      <c r="A15" s="17" t="s">
        <v>50</v>
      </c>
      <c r="B15" s="17"/>
      <c r="C15" s="17"/>
      <c r="D15" s="17"/>
      <c r="E15" s="17"/>
      <c r="F15" s="17"/>
      <c r="G15" s="18" t="str">
        <f aca="false">IFERROR(AVERAGEIF(H5:H9,"WIN",G5:G9),"-")</f>
        <v>-</v>
      </c>
    </row>
    <row r="16" customFormat="false" ht="18" hidden="false" customHeight="true" outlineLevel="0" collapsed="false">
      <c r="A16" s="17" t="s">
        <v>51</v>
      </c>
      <c r="B16" s="17"/>
      <c r="C16" s="17"/>
      <c r="D16" s="17"/>
      <c r="E16" s="17"/>
      <c r="F16" s="17"/>
      <c r="G16" s="18" t="str">
        <f aca="false">IFERROR(AVERAGEIF(H5:H9,"LOSS",I5:I9),"-")</f>
        <v>-</v>
      </c>
    </row>
  </sheetData>
  <mergeCells count="8">
    <mergeCell ref="A1:L1"/>
    <mergeCell ref="A2:L2"/>
    <mergeCell ref="A11:L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34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9" t="s">
        <v>52</v>
      </c>
      <c r="B1" s="19"/>
      <c r="C1" s="19"/>
      <c r="D1" s="19"/>
      <c r="E1" s="19"/>
      <c r="F1" s="19"/>
      <c r="G1" s="19"/>
      <c r="H1" s="19"/>
    </row>
    <row r="2" customFormat="false" ht="27.75" hidden="false" customHeight="true" outlineLevel="0" collapsed="false">
      <c r="A2" s="20" t="s">
        <v>53</v>
      </c>
      <c r="B2" s="20"/>
      <c r="C2" s="20"/>
      <c r="D2" s="20"/>
      <c r="E2" s="20"/>
      <c r="F2" s="20"/>
      <c r="G2" s="20"/>
      <c r="H2" s="20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</row>
    <row r="5" customFormat="false" ht="60" hidden="false" customHeight="true" outlineLevel="0" collapsed="false">
      <c r="A5" s="21" t="s">
        <v>15</v>
      </c>
      <c r="B5" s="22" t="s">
        <v>62</v>
      </c>
      <c r="C5" s="22" t="s">
        <v>14</v>
      </c>
      <c r="D5" s="22" t="s">
        <v>63</v>
      </c>
      <c r="E5" s="22" t="s">
        <v>64</v>
      </c>
      <c r="F5" s="22" t="s">
        <v>65</v>
      </c>
      <c r="G5" s="22" t="s">
        <v>66</v>
      </c>
      <c r="H5" s="22" t="s">
        <v>67</v>
      </c>
    </row>
    <row r="6" customFormat="false" ht="60" hidden="false" customHeight="true" outlineLevel="0" collapsed="false">
      <c r="A6" s="23" t="s">
        <v>15</v>
      </c>
      <c r="B6" s="24" t="s">
        <v>62</v>
      </c>
      <c r="C6" s="24" t="s">
        <v>14</v>
      </c>
      <c r="D6" s="24" t="s">
        <v>68</v>
      </c>
      <c r="E6" s="24" t="s">
        <v>69</v>
      </c>
      <c r="F6" s="24" t="s">
        <v>70</v>
      </c>
      <c r="G6" s="24" t="s">
        <v>71</v>
      </c>
      <c r="H6" s="24" t="s">
        <v>72</v>
      </c>
    </row>
    <row r="7" customFormat="false" ht="60" hidden="false" customHeight="true" outlineLevel="0" collapsed="false">
      <c r="A7" s="25" t="s">
        <v>15</v>
      </c>
      <c r="B7" s="26" t="s">
        <v>62</v>
      </c>
      <c r="C7" s="26" t="s">
        <v>23</v>
      </c>
      <c r="D7" s="26" t="s">
        <v>63</v>
      </c>
      <c r="E7" s="26" t="s">
        <v>73</v>
      </c>
      <c r="F7" s="26" t="s">
        <v>74</v>
      </c>
      <c r="G7" s="26" t="s">
        <v>75</v>
      </c>
      <c r="H7" s="26" t="s">
        <v>76</v>
      </c>
    </row>
    <row r="8" customFormat="false" ht="60" hidden="false" customHeight="true" outlineLevel="0" collapsed="false">
      <c r="A8" s="21" t="s">
        <v>15</v>
      </c>
      <c r="B8" s="22" t="s">
        <v>77</v>
      </c>
      <c r="C8" s="22" t="s">
        <v>31</v>
      </c>
      <c r="D8" s="22" t="s">
        <v>78</v>
      </c>
      <c r="E8" s="22" t="s">
        <v>79</v>
      </c>
      <c r="F8" s="22" t="s">
        <v>80</v>
      </c>
      <c r="G8" s="22" t="s">
        <v>81</v>
      </c>
      <c r="H8" s="22" t="s">
        <v>82</v>
      </c>
    </row>
    <row r="9" customFormat="false" ht="39.75" hidden="false" customHeight="true" outlineLevel="0" collapsed="false">
      <c r="A9" s="27"/>
      <c r="B9" s="27"/>
      <c r="C9" s="27"/>
      <c r="D9" s="27"/>
      <c r="E9" s="27"/>
      <c r="F9" s="27"/>
      <c r="G9" s="27"/>
      <c r="H9" s="27"/>
    </row>
    <row r="10" customFormat="false" ht="39.75" hidden="false" customHeight="true" outlineLevel="0" collapsed="false">
      <c r="A10" s="27"/>
      <c r="B10" s="27"/>
      <c r="C10" s="27"/>
      <c r="D10" s="27"/>
      <c r="E10" s="27"/>
      <c r="F10" s="27"/>
      <c r="G10" s="27"/>
      <c r="H10" s="27"/>
    </row>
    <row r="11" customFormat="false" ht="39.75" hidden="false" customHeight="true" outlineLevel="0" collapsed="false">
      <c r="A11" s="27"/>
      <c r="B11" s="27"/>
      <c r="C11" s="27"/>
      <c r="D11" s="27"/>
      <c r="E11" s="27"/>
      <c r="F11" s="27"/>
      <c r="G11" s="27"/>
      <c r="H11" s="27"/>
    </row>
    <row r="12" customFormat="false" ht="39.75" hidden="false" customHeight="true" outlineLevel="0" collapsed="false">
      <c r="A12" s="27"/>
      <c r="B12" s="27"/>
      <c r="C12" s="27"/>
      <c r="D12" s="27"/>
      <c r="E12" s="27"/>
      <c r="F12" s="27"/>
      <c r="G12" s="27"/>
      <c r="H12" s="27"/>
    </row>
    <row r="13" customFormat="false" ht="39.75" hidden="false" customHeight="true" outlineLevel="0" collapsed="false">
      <c r="A13" s="27"/>
      <c r="B13" s="27"/>
      <c r="C13" s="27"/>
      <c r="D13" s="27"/>
      <c r="E13" s="27"/>
      <c r="F13" s="27"/>
      <c r="G13" s="27"/>
      <c r="H13" s="27"/>
    </row>
    <row r="14" customFormat="false" ht="39.75" hidden="false" customHeight="true" outlineLevel="0" collapsed="false">
      <c r="A14" s="27"/>
      <c r="B14" s="27"/>
      <c r="C14" s="27"/>
      <c r="D14" s="27"/>
      <c r="E14" s="27"/>
      <c r="F14" s="27"/>
      <c r="G14" s="27"/>
      <c r="H14" s="27"/>
    </row>
    <row r="15" customFormat="false" ht="39.75" hidden="false" customHeight="true" outlineLevel="0" collapsed="false">
      <c r="A15" s="27"/>
      <c r="B15" s="27"/>
      <c r="C15" s="27"/>
      <c r="D15" s="27"/>
      <c r="E15" s="27"/>
      <c r="F15" s="27"/>
      <c r="G15" s="27"/>
      <c r="H15" s="27"/>
    </row>
    <row r="16" customFormat="false" ht="39.75" hidden="false" customHeight="true" outlineLevel="0" collapsed="false">
      <c r="A16" s="27"/>
      <c r="B16" s="27"/>
      <c r="C16" s="27"/>
      <c r="D16" s="27"/>
      <c r="E16" s="27"/>
      <c r="F16" s="27"/>
      <c r="G16" s="27"/>
      <c r="H16" s="27"/>
    </row>
    <row r="17" customFormat="false" ht="39.75" hidden="false" customHeight="true" outlineLevel="0" collapsed="false">
      <c r="A17" s="27"/>
      <c r="B17" s="27"/>
      <c r="C17" s="27"/>
      <c r="D17" s="27"/>
      <c r="E17" s="27"/>
      <c r="F17" s="27"/>
      <c r="G17" s="27"/>
      <c r="H17" s="27"/>
    </row>
    <row r="18" customFormat="false" ht="39.75" hidden="false" customHeight="true" outlineLevel="0" collapsed="false">
      <c r="A18" s="27"/>
      <c r="B18" s="27"/>
      <c r="C18" s="27"/>
      <c r="D18" s="27"/>
      <c r="E18" s="27"/>
      <c r="F18" s="27"/>
      <c r="G18" s="27"/>
      <c r="H18" s="2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2"/>
    <col collapsed="false" customWidth="true" hidden="false" outlineLevel="0" max="3" min="3" style="0" width="10"/>
  </cols>
  <sheetData>
    <row r="1" customFormat="false" ht="25.5" hidden="false" customHeight="true" outlineLevel="0" collapsed="false">
      <c r="A1" s="28" t="s">
        <v>83</v>
      </c>
      <c r="B1" s="28"/>
      <c r="C1" s="28"/>
    </row>
    <row r="3" customFormat="false" ht="21.75" hidden="false" customHeight="true" outlineLevel="0" collapsed="false">
      <c r="A3" s="29" t="s">
        <v>84</v>
      </c>
      <c r="B3" s="29"/>
      <c r="C3" s="29"/>
    </row>
    <row r="4" customFormat="false" ht="48" hidden="false" customHeight="true" outlineLevel="0" collapsed="false">
      <c r="A4" s="30" t="s">
        <v>85</v>
      </c>
      <c r="B4" s="31" t="s">
        <v>86</v>
      </c>
      <c r="C4" s="31"/>
    </row>
    <row r="5" customFormat="false" ht="48" hidden="false" customHeight="true" outlineLevel="0" collapsed="false">
      <c r="A5" s="30" t="s">
        <v>87</v>
      </c>
      <c r="B5" s="31" t="s">
        <v>88</v>
      </c>
      <c r="C5" s="31"/>
    </row>
    <row r="6" customFormat="false" ht="48" hidden="false" customHeight="true" outlineLevel="0" collapsed="false">
      <c r="A6" s="30" t="s">
        <v>89</v>
      </c>
      <c r="B6" s="31" t="s">
        <v>90</v>
      </c>
      <c r="C6" s="31"/>
    </row>
    <row r="7" customFormat="false" ht="7.5" hidden="false" customHeight="true" outlineLevel="0" collapsed="false"/>
    <row r="8" customFormat="false" ht="21.75" hidden="false" customHeight="true" outlineLevel="0" collapsed="false">
      <c r="A8" s="29" t="s">
        <v>91</v>
      </c>
      <c r="B8" s="29"/>
      <c r="C8" s="29"/>
    </row>
    <row r="9" customFormat="false" ht="48" hidden="false" customHeight="true" outlineLevel="0" collapsed="false">
      <c r="A9" s="30" t="s">
        <v>92</v>
      </c>
      <c r="B9" s="31" t="s">
        <v>93</v>
      </c>
      <c r="C9" s="31"/>
    </row>
    <row r="10" customFormat="false" ht="48" hidden="false" customHeight="true" outlineLevel="0" collapsed="false">
      <c r="A10" s="30" t="s">
        <v>94</v>
      </c>
      <c r="B10" s="31" t="s">
        <v>95</v>
      </c>
      <c r="C10" s="31"/>
    </row>
    <row r="11" customFormat="false" ht="48" hidden="false" customHeight="true" outlineLevel="0" collapsed="false">
      <c r="A11" s="30" t="s">
        <v>96</v>
      </c>
      <c r="B11" s="31" t="s">
        <v>97</v>
      </c>
      <c r="C11" s="31"/>
    </row>
    <row r="12" customFormat="false" ht="7.5" hidden="false" customHeight="true" outlineLevel="0" collapsed="false"/>
    <row r="13" customFormat="false" ht="21.75" hidden="false" customHeight="true" outlineLevel="0" collapsed="false">
      <c r="A13" s="29" t="s">
        <v>98</v>
      </c>
      <c r="B13" s="29"/>
      <c r="C13" s="29"/>
    </row>
    <row r="14" customFormat="false" ht="48" hidden="false" customHeight="true" outlineLevel="0" collapsed="false">
      <c r="A14" s="30" t="s">
        <v>99</v>
      </c>
      <c r="B14" s="31" t="s">
        <v>100</v>
      </c>
      <c r="C14" s="31"/>
    </row>
    <row r="15" customFormat="false" ht="48" hidden="false" customHeight="true" outlineLevel="0" collapsed="false">
      <c r="A15" s="30" t="s">
        <v>101</v>
      </c>
      <c r="B15" s="31" t="s">
        <v>102</v>
      </c>
      <c r="C15" s="31"/>
    </row>
    <row r="16" customFormat="false" ht="48" hidden="false" customHeight="true" outlineLevel="0" collapsed="false">
      <c r="A16" s="30" t="s">
        <v>103</v>
      </c>
      <c r="B16" s="31" t="s">
        <v>104</v>
      </c>
      <c r="C16" s="31"/>
    </row>
  </sheetData>
  <mergeCells count="13">
    <mergeCell ref="A1:C1"/>
    <mergeCell ref="A3:C3"/>
    <mergeCell ref="B4:C4"/>
    <mergeCell ref="B5:C5"/>
    <mergeCell ref="B6:C6"/>
    <mergeCell ref="A8:C8"/>
    <mergeCell ref="B9:C9"/>
    <mergeCell ref="B10:C10"/>
    <mergeCell ref="B11:C11"/>
    <mergeCell ref="A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2026-03-11T06:09:37Z</dcterms:created>
  <dc:creator>openpyxl</dc:creator>
  <dc:description/>
  <dc:language>en-US</dc:language>
  <cp:lastModifiedBy/>
  <dcterms:modified xsi:type="dcterms:W3CDTF">2026-03-11T06:09:37Z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