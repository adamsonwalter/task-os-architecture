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C1-COST Buy Ra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<sst xmlns="http://schemas.openxmlformats.org/spreadsheetml/2006/main" count="128" uniqueCount="88">
  <si>
    <t xml:space="preserve">⚠  INTERNAL — RC1-COST BUY RATES  |  Margin firewall in effect  |  NEVER share externally or include in any quote output</t>
  </si>
  <si>
    <t xml:space="preserve">GND Civil — RC1-COST Buy Rates  |  Internal Use Only  |  Damian sign-off required</t>
  </si>
  <si>
    <t xml:space="preserve">Version: 1.0  |  Created: Feb 2026  |  RC1-COST Updated: [Karen enters date]  |  Next Review: [Quarterly or after subcontractor rate change]</t>
  </si>
  <si>
    <t xml:space="preserve">GOVERNANCE: Buy rates in this file are used ONLY to calculate the internal margin column in the Priced Quote (Damian/Karen view). They are NEVER written into any output file, referenced in any table visible to the user, or included in any document sent to Optus or PEs.</t>
  </si>
  <si>
    <t xml:space="preserve">Activity
Code</t>
  </si>
  <si>
    <t xml:space="preserve">Description</t>
  </si>
  <si>
    <t xml:space="preserve">Unit</t>
  </si>
  <si>
    <t xml:space="preserve">Buy Rate
$/unit</t>
  </si>
  <si>
    <t xml:space="preserve">Sell Rate
$/unit
(RC1-SELL ref)</t>
  </si>
  <si>
    <t xml:space="preserve">Margin
$</t>
  </si>
  <si>
    <t xml:space="preserve">Margin
%</t>
  </si>
  <si>
    <t xml:space="preserve">Subcontractor /
Supplier</t>
  </si>
  <si>
    <t xml:space="preserve">Last Reviewed</t>
  </si>
  <si>
    <t xml:space="preserve">Notes</t>
  </si>
  <si>
    <t xml:space="preserve">DBYD</t>
  </si>
  <si>
    <t xml:space="preserve">DBYD Search &amp; Response</t>
  </si>
  <si>
    <t xml:space="preserve">job</t>
  </si>
  <si>
    <t xml:space="preserve">Feb 2026</t>
  </si>
  <si>
    <t xml:space="preserve">Dial Before You Dig online service</t>
  </si>
  <si>
    <t xml:space="preserve">DCAF-PIT</t>
  </si>
  <si>
    <t xml:space="preserve">DCAF per Telstra manhole</t>
  </si>
  <si>
    <t xml:space="preserve">ea</t>
  </si>
  <si>
    <t xml:space="preserve">Craig admin time</t>
  </si>
  <si>
    <t xml:space="preserve">ASBUILT</t>
  </si>
  <si>
    <t xml:space="preserve">As-built Konect capture</t>
  </si>
  <si>
    <t xml:space="preserve">Karen admin + Konect licence</t>
  </si>
  <si>
    <t xml:space="preserve">SED-FENCE</t>
  </si>
  <si>
    <t xml:space="preserve">Sediment fencing install (labour)</t>
  </si>
  <si>
    <t xml:space="preserve">m</t>
  </si>
  <si>
    <t xml:space="preserve">Crew labour only — material in RC2</t>
  </si>
  <si>
    <t xml:space="preserve">POTHOLE</t>
  </si>
  <si>
    <t xml:space="preserve">Potholing — per pit location</t>
  </si>
  <si>
    <t xml:space="preserve">Vacuum excavation subcontractor</t>
  </si>
  <si>
    <t xml:space="preserve">DRILL-P50</t>
  </si>
  <si>
    <t xml:space="preserve">HDD bore — P50 conduit</t>
  </si>
  <si>
    <t xml:space="preserve">Drill subcontractor all-in rate</t>
  </si>
  <si>
    <t xml:space="preserve">TRENCH-P50</t>
  </si>
  <si>
    <t xml:space="preserve">Open trench — P50 conduit</t>
  </si>
  <si>
    <t xml:space="preserve">Note: same buy rate as bore — verify with subcon</t>
  </si>
  <si>
    <t xml:space="preserve">BORE-SETUP</t>
  </si>
  <si>
    <t xml:space="preserve">Drill rig setup per bore entry</t>
  </si>
  <si>
    <t xml:space="preserve">Subcontractor setup charge</t>
  </si>
  <si>
    <t xml:space="preserve">TM-PERSON</t>
  </si>
  <si>
    <t xml:space="preserve">Traffic management — 1 person/day</t>
  </si>
  <si>
    <t xml:space="preserve">day</t>
  </si>
  <si>
    <t xml:space="preserve">Labour + equipment hire</t>
  </si>
  <si>
    <t xml:space="preserve">REINSTATE</t>
  </si>
  <si>
    <t xml:space="preserve">Nature strip reinstatement EM26</t>
  </si>
  <si>
    <t xml:space="preserve">m2</t>
  </si>
  <si>
    <t xml:space="preserve">Per m2 — turf cut, restock, relay</t>
  </si>
  <si>
    <t xml:space="preserve">PIT-4</t>
  </si>
  <si>
    <t xml:space="preserve">P4 Pit supply &amp; install</t>
  </si>
  <si>
    <t xml:space="preserve">Pit supply + install labour blended</t>
  </si>
  <si>
    <t xml:space="preserve">PIT-5</t>
  </si>
  <si>
    <t xml:space="preserve">P5 Pit supply &amp; install</t>
  </si>
  <si>
    <t xml:space="preserve">PIT-8</t>
  </si>
  <si>
    <t xml:space="preserve">P8 Pit supply &amp; install</t>
  </si>
  <si>
    <t xml:space="preserve">G01 gap item — rate estimated, Damian to confirm</t>
  </si>
  <si>
    <t xml:space="preserve">DART</t>
  </si>
  <si>
    <t xml:space="preserve">Dart blow — prove conduit</t>
  </si>
  <si>
    <t xml:space="preserve">BREAKOUT-P50</t>
  </si>
  <si>
    <t xml:space="preserve">P50 Breakout install — Telstra pit</t>
  </si>
  <si>
    <t xml:space="preserve">G06 gap item — confirm Telstra method</t>
  </si>
  <si>
    <t xml:space="preserve">HAUL-UG</t>
  </si>
  <si>
    <t xml:space="preserve">Cable haul — Optus new duct</t>
  </si>
  <si>
    <t xml:space="preserve">Labour only — cable in RC2</t>
  </si>
  <si>
    <t xml:space="preserve">HAUL-TELSTRA</t>
  </si>
  <si>
    <t xml:space="preserve">Cable haul — Telstra leased duct</t>
  </si>
  <si>
    <t xml:space="preserve">Higher rate — carrier overhead</t>
  </si>
  <si>
    <t xml:space="preserve">TAPE-TAG</t>
  </si>
  <si>
    <t xml:space="preserve">Tape and tag — full route</t>
  </si>
  <si>
    <t xml:space="preserve">SPLICE-FISTBC6</t>
  </si>
  <si>
    <t xml:space="preserve">FIST BC6 AJL splice (labour+encl)</t>
  </si>
  <si>
    <t xml:space="preserve">G04 — enclosure in RC2 MAT-FISTBC6</t>
  </si>
  <si>
    <t xml:space="preserve">SPLICE-YOFC</t>
  </si>
  <si>
    <t xml:space="preserve">YOFC AJL Mini splice (labour+encl)</t>
  </si>
  <si>
    <t xml:space="preserve">G05 — enclosure in RC2 MAT-YOFC</t>
  </si>
  <si>
    <t xml:space="preserve">SPLICE-BJL144</t>
  </si>
  <si>
    <t xml:space="preserve">BJL-144F AJL splice</t>
  </si>
  <si>
    <t xml:space="preserve">G07 gap item — rate estimated</t>
  </si>
  <si>
    <t xml:space="preserve">BEP</t>
  </si>
  <si>
    <t xml:space="preserve">Building Entry Point install</t>
  </si>
  <si>
    <t xml:space="preserve">G10 gap item — confirm scope</t>
  </si>
  <si>
    <t xml:space="preserve">HAUL-12F</t>
  </si>
  <si>
    <t xml:space="preserve">12 SMOF External hauling</t>
  </si>
  <si>
    <t xml:space="preserve">G03 gap item — same rate as HAUL-UG assumed</t>
  </si>
  <si>
    <t xml:space="preserve">PORTFOLIO MARGIN SUMMARY</t>
  </si>
  <si>
    <t xml:space="preserve">Weighted avg margin across all coded activities: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</si>
</sst>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FF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888888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C00000"/>
        <bgColor rgb="FFFF0000"/>
      </patternFill>
    </fill>
    <fill>
      <patternFill patternType="solid">
        <fgColor rgb="FF1F3864"/>
        <bgColor rgb="FF333333"/>
      </patternFill>
    </fill>
    <fill>
      <patternFill patternType="solid">
        <fgColor rgb="FFF5F9FF"/>
        <bgColor rgb="FFFFFFFF"/>
      </patternFill>
    </fill>
    <fill>
      <patternFill patternType="solid">
        <fgColor rgb="FFFCE4D6"/>
        <bgColor rgb="FFE2EFDA"/>
      </patternFill>
    </fill>
    <fill>
      <patternFill patternType="solid">
        <fgColor rgb="FFD6E4F7"/>
        <bgColor rgb="FFE2EFDA"/>
      </patternFill>
    </fill>
    <fill>
      <patternFill patternType="solid">
        <fgColor rgb="FFFFFFFF"/>
        <bgColor rgb="FFF5F9FF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6E4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5F9FF"/>
      <rgbColor rgb="FFCCFFFF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2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31.5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6" hidden="false" customHeight="true" outlineLevel="0" collapsed="false"/>
    <row r="6" customFormat="false" ht="27.75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</row>
    <row r="7" customFormat="false" ht="18" hidden="false" customHeight="true" outlineLevel="0" collapsed="false">
      <c r="A7" s="6" t="s">
        <v>14</v>
      </c>
      <c r="B7" s="7" t="s">
        <v>15</v>
      </c>
      <c r="C7" s="8" t="s">
        <v>16</v>
      </c>
      <c r="D7" s="9" t="n">
        <v>320</v>
      </c>
      <c r="E7" s="10" t="n">
        <v>480</v>
      </c>
      <c r="F7" s="11" t="n">
        <f aca="false">E7-D7</f>
        <v>160</v>
      </c>
      <c r="G7" s="12" t="n">
        <f aca="false">IF(E7&gt;0,F7/E7,0)</f>
        <v>0.333333333333333</v>
      </c>
      <c r="H7" s="13"/>
      <c r="I7" s="14" t="s">
        <v>17</v>
      </c>
      <c r="J7" s="15" t="s">
        <v>18</v>
      </c>
    </row>
    <row r="8" customFormat="false" ht="18" hidden="false" customHeight="true" outlineLevel="0" collapsed="false">
      <c r="A8" s="16" t="s">
        <v>19</v>
      </c>
      <c r="B8" s="17" t="s">
        <v>20</v>
      </c>
      <c r="C8" s="18" t="s">
        <v>21</v>
      </c>
      <c r="D8" s="9" t="n">
        <v>18</v>
      </c>
      <c r="E8" s="19" t="n">
        <v>25</v>
      </c>
      <c r="F8" s="20" t="n">
        <f aca="false">E8-D8</f>
        <v>7</v>
      </c>
      <c r="G8" s="21" t="n">
        <f aca="false">IF(E8&gt;0,F8/E8,0)</f>
        <v>0.28</v>
      </c>
      <c r="H8" s="13"/>
      <c r="I8" s="14" t="s">
        <v>17</v>
      </c>
      <c r="J8" s="22" t="s">
        <v>22</v>
      </c>
    </row>
    <row r="9" customFormat="false" ht="18" hidden="false" customHeight="true" outlineLevel="0" collapsed="false">
      <c r="A9" s="6" t="s">
        <v>23</v>
      </c>
      <c r="B9" s="7" t="s">
        <v>24</v>
      </c>
      <c r="C9" s="8" t="s">
        <v>16</v>
      </c>
      <c r="D9" s="9" t="n">
        <v>160</v>
      </c>
      <c r="E9" s="10" t="n">
        <v>400</v>
      </c>
      <c r="F9" s="11" t="n">
        <f aca="false">E9-D9</f>
        <v>240</v>
      </c>
      <c r="G9" s="12" t="n">
        <f aca="false">IF(E9&gt;0,F9/E9,0)</f>
        <v>0.6</v>
      </c>
      <c r="H9" s="13"/>
      <c r="I9" s="14" t="s">
        <v>17</v>
      </c>
      <c r="J9" s="15" t="s">
        <v>25</v>
      </c>
    </row>
    <row r="10" customFormat="false" ht="18" hidden="false" customHeight="true" outlineLevel="0" collapsed="false">
      <c r="A10" s="16" t="s">
        <v>26</v>
      </c>
      <c r="B10" s="17" t="s">
        <v>27</v>
      </c>
      <c r="C10" s="18" t="s">
        <v>28</v>
      </c>
      <c r="D10" s="9" t="n">
        <v>3.5</v>
      </c>
      <c r="E10" s="19" t="n">
        <v>12</v>
      </c>
      <c r="F10" s="20" t="n">
        <f aca="false">E10-D10</f>
        <v>8.5</v>
      </c>
      <c r="G10" s="21" t="n">
        <f aca="false">IF(E10&gt;0,F10/E10,0)</f>
        <v>0.708333333333333</v>
      </c>
      <c r="H10" s="13"/>
      <c r="I10" s="14" t="s">
        <v>17</v>
      </c>
      <c r="J10" s="22" t="s">
        <v>29</v>
      </c>
    </row>
    <row r="11" customFormat="false" ht="18" hidden="false" customHeight="true" outlineLevel="0" collapsed="false">
      <c r="A11" s="6" t="s">
        <v>30</v>
      </c>
      <c r="B11" s="7" t="s">
        <v>31</v>
      </c>
      <c r="C11" s="8" t="s">
        <v>21</v>
      </c>
      <c r="D11" s="9" t="n">
        <v>300</v>
      </c>
      <c r="E11" s="10" t="n">
        <v>600</v>
      </c>
      <c r="F11" s="11" t="n">
        <f aca="false">E11-D11</f>
        <v>300</v>
      </c>
      <c r="G11" s="12" t="n">
        <f aca="false">IF(E11&gt;0,F11/E11,0)</f>
        <v>0.5</v>
      </c>
      <c r="H11" s="13"/>
      <c r="I11" s="14" t="s">
        <v>17</v>
      </c>
      <c r="J11" s="15" t="s">
        <v>32</v>
      </c>
    </row>
    <row r="12" customFormat="false" ht="18" hidden="false" customHeight="true" outlineLevel="0" collapsed="false">
      <c r="A12" s="16" t="s">
        <v>33</v>
      </c>
      <c r="B12" s="17" t="s">
        <v>34</v>
      </c>
      <c r="C12" s="18" t="s">
        <v>28</v>
      </c>
      <c r="D12" s="9" t="n">
        <v>52</v>
      </c>
      <c r="E12" s="19" t="n">
        <v>85</v>
      </c>
      <c r="F12" s="20" t="n">
        <f aca="false">E12-D12</f>
        <v>33</v>
      </c>
      <c r="G12" s="21" t="n">
        <f aca="false">IF(E12&gt;0,F12/E12,0)</f>
        <v>0.388235294117647</v>
      </c>
      <c r="H12" s="13"/>
      <c r="I12" s="14" t="s">
        <v>17</v>
      </c>
      <c r="J12" s="22" t="s">
        <v>35</v>
      </c>
    </row>
    <row r="13" customFormat="false" ht="18" hidden="false" customHeight="true" outlineLevel="0" collapsed="false">
      <c r="A13" s="6" t="s">
        <v>36</v>
      </c>
      <c r="B13" s="7" t="s">
        <v>37</v>
      </c>
      <c r="C13" s="8" t="s">
        <v>28</v>
      </c>
      <c r="D13" s="9" t="n">
        <v>52</v>
      </c>
      <c r="E13" s="10" t="n">
        <v>85</v>
      </c>
      <c r="F13" s="11" t="n">
        <f aca="false">E13-D13</f>
        <v>33</v>
      </c>
      <c r="G13" s="12" t="n">
        <f aca="false">IF(E13&gt;0,F13/E13,0)</f>
        <v>0.388235294117647</v>
      </c>
      <c r="H13" s="13"/>
      <c r="I13" s="14" t="s">
        <v>17</v>
      </c>
      <c r="J13" s="15" t="s">
        <v>38</v>
      </c>
    </row>
    <row r="14" customFormat="false" ht="18" hidden="false" customHeight="true" outlineLevel="0" collapsed="false">
      <c r="A14" s="16" t="s">
        <v>39</v>
      </c>
      <c r="B14" s="17" t="s">
        <v>40</v>
      </c>
      <c r="C14" s="18" t="s">
        <v>21</v>
      </c>
      <c r="D14" s="9" t="n">
        <v>800</v>
      </c>
      <c r="E14" s="19" t="n">
        <v>1200</v>
      </c>
      <c r="F14" s="20" t="n">
        <f aca="false">E14-D14</f>
        <v>400</v>
      </c>
      <c r="G14" s="21" t="n">
        <f aca="false">IF(E14&gt;0,F14/E14,0)</f>
        <v>0.333333333333333</v>
      </c>
      <c r="H14" s="13"/>
      <c r="I14" s="14" t="s">
        <v>17</v>
      </c>
      <c r="J14" s="22" t="s">
        <v>41</v>
      </c>
    </row>
    <row r="15" customFormat="false" ht="18" hidden="false" customHeight="true" outlineLevel="0" collapsed="false">
      <c r="A15" s="6" t="s">
        <v>42</v>
      </c>
      <c r="B15" s="7" t="s">
        <v>43</v>
      </c>
      <c r="C15" s="8" t="s">
        <v>44</v>
      </c>
      <c r="D15" s="9" t="n">
        <v>2800</v>
      </c>
      <c r="E15" s="10" t="n">
        <v>900</v>
      </c>
      <c r="F15" s="11" t="n">
        <f aca="false">E15-D15</f>
        <v>-1900</v>
      </c>
      <c r="G15" s="12" t="n">
        <f aca="false">IF(E15&gt;0,F15/E15,0)</f>
        <v>-2.11111111111111</v>
      </c>
      <c r="H15" s="13"/>
      <c r="I15" s="14" t="s">
        <v>17</v>
      </c>
      <c r="J15" s="15" t="s">
        <v>45</v>
      </c>
    </row>
    <row r="16" customFormat="false" ht="18" hidden="false" customHeight="true" outlineLevel="0" collapsed="false">
      <c r="A16" s="16" t="s">
        <v>46</v>
      </c>
      <c r="B16" s="17" t="s">
        <v>47</v>
      </c>
      <c r="C16" s="18" t="s">
        <v>48</v>
      </c>
      <c r="D16" s="9" t="n">
        <v>480</v>
      </c>
      <c r="E16" s="19" t="n">
        <v>24</v>
      </c>
      <c r="F16" s="20" t="n">
        <f aca="false">E16-D16</f>
        <v>-456</v>
      </c>
      <c r="G16" s="21" t="n">
        <f aca="false">IF(E16&gt;0,F16/E16,0)</f>
        <v>-19</v>
      </c>
      <c r="H16" s="13"/>
      <c r="I16" s="14" t="s">
        <v>17</v>
      </c>
      <c r="J16" s="22" t="s">
        <v>49</v>
      </c>
    </row>
    <row r="17" customFormat="false" ht="18" hidden="false" customHeight="true" outlineLevel="0" collapsed="false">
      <c r="A17" s="6" t="s">
        <v>50</v>
      </c>
      <c r="B17" s="7" t="s">
        <v>51</v>
      </c>
      <c r="C17" s="8" t="s">
        <v>21</v>
      </c>
      <c r="D17" s="9" t="n">
        <v>1050</v>
      </c>
      <c r="E17" s="10" t="n">
        <v>1550</v>
      </c>
      <c r="F17" s="11" t="n">
        <f aca="false">E17-D17</f>
        <v>500</v>
      </c>
      <c r="G17" s="12" t="n">
        <f aca="false">IF(E17&gt;0,F17/E17,0)</f>
        <v>0.32258064516129</v>
      </c>
      <c r="H17" s="13"/>
      <c r="I17" s="14" t="s">
        <v>17</v>
      </c>
      <c r="J17" s="15" t="s">
        <v>52</v>
      </c>
    </row>
    <row r="18" customFormat="false" ht="18" hidden="false" customHeight="true" outlineLevel="0" collapsed="false">
      <c r="A18" s="16" t="s">
        <v>53</v>
      </c>
      <c r="B18" s="17" t="s">
        <v>54</v>
      </c>
      <c r="C18" s="18" t="s">
        <v>21</v>
      </c>
      <c r="D18" s="9" t="n">
        <v>1450</v>
      </c>
      <c r="E18" s="19" t="n">
        <v>2050</v>
      </c>
      <c r="F18" s="20" t="n">
        <f aca="false">E18-D18</f>
        <v>600</v>
      </c>
      <c r="G18" s="21" t="n">
        <f aca="false">IF(E18&gt;0,F18/E18,0)</f>
        <v>0.292682926829268</v>
      </c>
      <c r="H18" s="13"/>
      <c r="I18" s="14" t="s">
        <v>17</v>
      </c>
      <c r="J18" s="22"/>
    </row>
    <row r="19" customFormat="false" ht="18" hidden="false" customHeight="true" outlineLevel="0" collapsed="false">
      <c r="A19" s="6" t="s">
        <v>55</v>
      </c>
      <c r="B19" s="7" t="s">
        <v>56</v>
      </c>
      <c r="C19" s="8" t="s">
        <v>21</v>
      </c>
      <c r="D19" s="9" t="n">
        <v>1600</v>
      </c>
      <c r="E19" s="10" t="n">
        <v>3600</v>
      </c>
      <c r="F19" s="11" t="n">
        <f aca="false">E19-D19</f>
        <v>2000</v>
      </c>
      <c r="G19" s="12" t="n">
        <f aca="false">IF(E19&gt;0,F19/E19,0)</f>
        <v>0.555555555555556</v>
      </c>
      <c r="H19" s="13"/>
      <c r="I19" s="14" t="s">
        <v>17</v>
      </c>
      <c r="J19" s="15" t="s">
        <v>57</v>
      </c>
    </row>
    <row r="20" customFormat="false" ht="18" hidden="false" customHeight="true" outlineLevel="0" collapsed="false">
      <c r="A20" s="16" t="s">
        <v>58</v>
      </c>
      <c r="B20" s="17" t="s">
        <v>59</v>
      </c>
      <c r="C20" s="18" t="s">
        <v>16</v>
      </c>
      <c r="D20" s="9" t="n">
        <v>120</v>
      </c>
      <c r="E20" s="19" t="n">
        <v>240</v>
      </c>
      <c r="F20" s="20" t="n">
        <f aca="false">E20-D20</f>
        <v>120</v>
      </c>
      <c r="G20" s="21" t="n">
        <f aca="false">IF(E20&gt;0,F20/E20,0)</f>
        <v>0.5</v>
      </c>
      <c r="H20" s="13"/>
      <c r="I20" s="14" t="s">
        <v>17</v>
      </c>
      <c r="J20" s="22"/>
    </row>
    <row r="21" customFormat="false" ht="18" hidden="false" customHeight="true" outlineLevel="0" collapsed="false">
      <c r="A21" s="6" t="s">
        <v>60</v>
      </c>
      <c r="B21" s="7" t="s">
        <v>61</v>
      </c>
      <c r="C21" s="8" t="s">
        <v>21</v>
      </c>
      <c r="D21" s="9" t="n">
        <v>340</v>
      </c>
      <c r="E21" s="10" t="n">
        <v>720</v>
      </c>
      <c r="F21" s="11" t="n">
        <f aca="false">E21-D21</f>
        <v>380</v>
      </c>
      <c r="G21" s="12" t="n">
        <f aca="false">IF(E21&gt;0,F21/E21,0)</f>
        <v>0.527777777777778</v>
      </c>
      <c r="H21" s="13"/>
      <c r="I21" s="14" t="s">
        <v>17</v>
      </c>
      <c r="J21" s="15" t="s">
        <v>62</v>
      </c>
    </row>
    <row r="22" customFormat="false" ht="18" hidden="false" customHeight="true" outlineLevel="0" collapsed="false">
      <c r="A22" s="16" t="s">
        <v>63</v>
      </c>
      <c r="B22" s="17" t="s">
        <v>64</v>
      </c>
      <c r="C22" s="18" t="s">
        <v>28</v>
      </c>
      <c r="D22" s="9" t="n">
        <v>0.65</v>
      </c>
      <c r="E22" s="19" t="n">
        <v>4.8</v>
      </c>
      <c r="F22" s="20" t="n">
        <f aca="false">E22-D22</f>
        <v>4.15</v>
      </c>
      <c r="G22" s="21" t="n">
        <f aca="false">IF(E22&gt;0,F22/E22,0)</f>
        <v>0.864583333333333</v>
      </c>
      <c r="H22" s="13"/>
      <c r="I22" s="14" t="s">
        <v>17</v>
      </c>
      <c r="J22" s="22" t="s">
        <v>65</v>
      </c>
    </row>
    <row r="23" customFormat="false" ht="18" hidden="false" customHeight="true" outlineLevel="0" collapsed="false">
      <c r="A23" s="6" t="s">
        <v>66</v>
      </c>
      <c r="B23" s="7" t="s">
        <v>67</v>
      </c>
      <c r="C23" s="8" t="s">
        <v>28</v>
      </c>
      <c r="D23" s="9" t="n">
        <v>0.8</v>
      </c>
      <c r="E23" s="10" t="n">
        <v>5.8</v>
      </c>
      <c r="F23" s="11" t="n">
        <f aca="false">E23-D23</f>
        <v>5</v>
      </c>
      <c r="G23" s="12" t="n">
        <f aca="false">IF(E23&gt;0,F23/E23,0)</f>
        <v>0.862068965517241</v>
      </c>
      <c r="H23" s="13"/>
      <c r="I23" s="14" t="s">
        <v>17</v>
      </c>
      <c r="J23" s="15" t="s">
        <v>68</v>
      </c>
    </row>
    <row r="24" customFormat="false" ht="18" hidden="false" customHeight="true" outlineLevel="0" collapsed="false">
      <c r="A24" s="16" t="s">
        <v>69</v>
      </c>
      <c r="B24" s="17" t="s">
        <v>70</v>
      </c>
      <c r="C24" s="18" t="s">
        <v>28</v>
      </c>
      <c r="D24" s="9" t="n">
        <v>0.4</v>
      </c>
      <c r="E24" s="19" t="n">
        <v>1.6</v>
      </c>
      <c r="F24" s="20" t="n">
        <f aca="false">E24-D24</f>
        <v>1.2</v>
      </c>
      <c r="G24" s="21" t="n">
        <f aca="false">IF(E24&gt;0,F24/E24,0)</f>
        <v>0.75</v>
      </c>
      <c r="H24" s="13"/>
      <c r="I24" s="14" t="s">
        <v>17</v>
      </c>
      <c r="J24" s="22"/>
    </row>
    <row r="25" customFormat="false" ht="18" hidden="false" customHeight="true" outlineLevel="0" collapsed="false">
      <c r="A25" s="6" t="s">
        <v>71</v>
      </c>
      <c r="B25" s="7" t="s">
        <v>72</v>
      </c>
      <c r="C25" s="8" t="s">
        <v>21</v>
      </c>
      <c r="D25" s="9" t="n">
        <v>1200</v>
      </c>
      <c r="E25" s="10" t="n">
        <v>2400</v>
      </c>
      <c r="F25" s="11" t="n">
        <f aca="false">E25-D25</f>
        <v>1200</v>
      </c>
      <c r="G25" s="12" t="n">
        <f aca="false">IF(E25&gt;0,F25/E25,0)</f>
        <v>0.5</v>
      </c>
      <c r="H25" s="13"/>
      <c r="I25" s="14" t="s">
        <v>17</v>
      </c>
      <c r="J25" s="15" t="s">
        <v>73</v>
      </c>
    </row>
    <row r="26" customFormat="false" ht="18" hidden="false" customHeight="true" outlineLevel="0" collapsed="false">
      <c r="A26" s="16" t="s">
        <v>74</v>
      </c>
      <c r="B26" s="17" t="s">
        <v>75</v>
      </c>
      <c r="C26" s="18" t="s">
        <v>21</v>
      </c>
      <c r="D26" s="9" t="n">
        <v>500</v>
      </c>
      <c r="E26" s="19" t="n">
        <v>2100</v>
      </c>
      <c r="F26" s="20" t="n">
        <f aca="false">E26-D26</f>
        <v>1600</v>
      </c>
      <c r="G26" s="21" t="n">
        <f aca="false">IF(E26&gt;0,F26/E26,0)</f>
        <v>0.761904761904762</v>
      </c>
      <c r="H26" s="13"/>
      <c r="I26" s="14" t="s">
        <v>17</v>
      </c>
      <c r="J26" s="22" t="s">
        <v>76</v>
      </c>
    </row>
    <row r="27" customFormat="false" ht="18" hidden="false" customHeight="true" outlineLevel="0" collapsed="false">
      <c r="A27" s="6" t="s">
        <v>77</v>
      </c>
      <c r="B27" s="7" t="s">
        <v>78</v>
      </c>
      <c r="C27" s="8" t="s">
        <v>21</v>
      </c>
      <c r="D27" s="9" t="n">
        <v>1100</v>
      </c>
      <c r="E27" s="10" t="n">
        <v>2200</v>
      </c>
      <c r="F27" s="11" t="n">
        <f aca="false">E27-D27</f>
        <v>1100</v>
      </c>
      <c r="G27" s="12" t="n">
        <f aca="false">IF(E27&gt;0,F27/E27,0)</f>
        <v>0.5</v>
      </c>
      <c r="H27" s="13"/>
      <c r="I27" s="14" t="s">
        <v>17</v>
      </c>
      <c r="J27" s="15" t="s">
        <v>79</v>
      </c>
    </row>
    <row r="28" customFormat="false" ht="18" hidden="false" customHeight="true" outlineLevel="0" collapsed="false">
      <c r="A28" s="16" t="s">
        <v>80</v>
      </c>
      <c r="B28" s="17" t="s">
        <v>81</v>
      </c>
      <c r="C28" s="18" t="s">
        <v>21</v>
      </c>
      <c r="D28" s="9" t="n">
        <v>480</v>
      </c>
      <c r="E28" s="19" t="n">
        <v>1250</v>
      </c>
      <c r="F28" s="20" t="n">
        <f aca="false">E28-D28</f>
        <v>770</v>
      </c>
      <c r="G28" s="21" t="n">
        <f aca="false">IF(E28&gt;0,F28/E28,0)</f>
        <v>0.616</v>
      </c>
      <c r="H28" s="13"/>
      <c r="I28" s="14" t="s">
        <v>17</v>
      </c>
      <c r="J28" s="22" t="s">
        <v>82</v>
      </c>
    </row>
    <row r="29" customFormat="false" ht="18" hidden="false" customHeight="true" outlineLevel="0" collapsed="false">
      <c r="A29" s="6" t="s">
        <v>83</v>
      </c>
      <c r="B29" s="7" t="s">
        <v>84</v>
      </c>
      <c r="C29" s="8" t="s">
        <v>28</v>
      </c>
      <c r="D29" s="9" t="n">
        <v>0.65</v>
      </c>
      <c r="E29" s="10" t="n">
        <v>4.8</v>
      </c>
      <c r="F29" s="11" t="n">
        <f aca="false">E29-D29</f>
        <v>4.15</v>
      </c>
      <c r="G29" s="12" t="n">
        <f aca="false">IF(E29&gt;0,F29/E29,0)</f>
        <v>0.864583333333333</v>
      </c>
      <c r="H29" s="13"/>
      <c r="I29" s="14" t="s">
        <v>17</v>
      </c>
      <c r="J29" s="15" t="s">
        <v>85</v>
      </c>
    </row>
    <row r="30" customFormat="false" ht="6" hidden="false" customHeight="true" outlineLevel="0" collapsed="false"/>
    <row r="31" customFormat="false" ht="18" hidden="false" customHeight="true" outlineLevel="0" collapsed="false">
      <c r="A31" s="23" t="s">
        <v>86</v>
      </c>
      <c r="B31" s="23"/>
      <c r="C31" s="23"/>
      <c r="D31" s="23"/>
      <c r="E31" s="23"/>
      <c r="F31" s="23"/>
      <c r="G31" s="23"/>
      <c r="H31" s="23"/>
      <c r="I31" s="23"/>
      <c r="J31" s="23"/>
    </row>
    <row r="32" customFormat="false" ht="19.5" hidden="false" customHeight="true" outlineLevel="0" collapsed="false">
      <c r="A32" s="24" t="s">
        <v>87</v>
      </c>
      <c r="B32" s="24"/>
      <c r="C32" s="24"/>
      <c r="D32" s="24"/>
      <c r="E32" s="24"/>
      <c r="F32" s="25" t="n">
        <f aca="false">AVERAGE(F7:F30)</f>
        <v>309.130434782609</v>
      </c>
      <c r="G32" s="26" t="n">
        <f aca="false">AVERAGE(G7:G30)</f>
        <v>-0.420082748846229</v>
      </c>
    </row>
  </sheetData>
  <mergeCells count="6">
    <mergeCell ref="A1:J1"/>
    <mergeCell ref="A2:J2"/>
    <mergeCell ref="A3:J3"/>
    <mergeCell ref="A4:J4"/>
    <mergeCell ref="A31:J31"/>
    <mergeCell ref="A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2026-03-11T06:09:37Z</dcterms:created>
  <dc:creator>openpyxl</dc:creator>
  <dc:description/>
  <dc:language>en-US</dc:language>
  <cp:lastModifiedBy/>
  <dcterms:modified xsi:type="dcterms:W3CDTF">2026-03-11T06:09:37Z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